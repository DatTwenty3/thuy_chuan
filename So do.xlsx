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B7768FE-C610-40D1-A441-DA49D931849D}" xr6:coauthVersionLast="47" xr6:coauthVersionMax="47" xr10:uidLastSave="{00000000-0000-0000-0000-000000000000}"/>
  <bookViews>
    <workbookView xWindow="-105" yWindow="0" windowWidth="19410" windowHeight="20985" xr2:uid="{B13DF021-2BF2-468B-B3CC-7F7E12A650CF}"/>
  </bookViews>
  <sheets>
    <sheet name="Sheet1" sheetId="1" r:id="rId1"/>
  </sheets>
  <definedNames>
    <definedName name="_xlnm.Print_Area" localSheetId="0">Sheet1!$A$1:$L$92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" i="1" l="1"/>
  <c r="N26" i="1"/>
  <c r="N22" i="1"/>
  <c r="I96" i="1"/>
  <c r="H96" i="1"/>
  <c r="I95" i="1"/>
  <c r="H95" i="1"/>
  <c r="I94" i="1"/>
  <c r="H94" i="1"/>
  <c r="E97" i="1"/>
  <c r="C97" i="1"/>
  <c r="E95" i="1"/>
  <c r="E94" i="1"/>
  <c r="E96" i="1" s="1"/>
  <c r="C96" i="1"/>
  <c r="C95" i="1"/>
  <c r="C94" i="1"/>
  <c r="K19" i="1"/>
  <c r="I19" i="1"/>
  <c r="H19" i="1"/>
  <c r="J19" i="1"/>
  <c r="J18" i="1"/>
  <c r="J17" i="1"/>
  <c r="J14" i="1"/>
  <c r="I15" i="1"/>
  <c r="H15" i="1"/>
  <c r="E19" i="1"/>
  <c r="C19" i="1"/>
  <c r="C20" i="1" s="1"/>
  <c r="E15" i="1"/>
  <c r="C15" i="1"/>
  <c r="C16" i="1" s="1"/>
  <c r="E16" i="1" s="1"/>
  <c r="E20" i="1" s="1"/>
  <c r="J13" i="1" l="1"/>
  <c r="J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N12" authorId="0" shapeId="0" xr:uid="{A06F5D91-2B87-4636-A1B8-B381472BA13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lấy theo mia a Thuần</t>
        </r>
      </text>
    </comment>
    <comment ref="J13" authorId="0" shapeId="0" xr:uid="{803F8482-01CE-4672-84C8-86620ED9B59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K + đen - đỏ</t>
        </r>
      </text>
    </comment>
    <comment ref="J14" authorId="0" shapeId="0" xr:uid="{6BFA0D0F-7024-4E4E-BC09-246E1704924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K + đen - đỏ</t>
        </r>
      </text>
    </comment>
    <comment ref="C15" authorId="0" shapeId="0" xr:uid="{BE65BFE7-B473-4972-9410-4B9BDB5F178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Khoảng cách đo: (trên - dưới)/10
đvt: mét</t>
        </r>
      </text>
    </comment>
    <comment ref="E15" authorId="0" shapeId="0" xr:uid="{4A7390C9-9BFE-44E4-91BA-0A17FFE4179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Khoảng cách đo: (trên - dưới)/10
đvt: mét</t>
        </r>
      </text>
    </comment>
    <comment ref="H15" authorId="0" shapeId="0" xr:uid="{36A57D65-6215-4792-81BB-B92C8F76B67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Chênh cao đo (mm)</t>
        </r>
      </text>
    </comment>
    <comment ref="I15" authorId="0" shapeId="0" xr:uid="{237B996B-5FCB-4852-873F-2C881998624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Chênh cao đo (mm)</t>
        </r>
      </text>
    </comment>
    <comment ref="J15" authorId="0" shapeId="0" xr:uid="{A4B8BE73-1D3B-4041-920E-D7100C566C7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K + đen - đỏ</t>
        </r>
      </text>
    </comment>
    <comment ref="C16" authorId="0" shapeId="0" xr:uid="{889657BA-ED6D-4CEB-A288-1C9A531FBC6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k/c sau - k/c trước (mét)</t>
        </r>
      </text>
    </comment>
    <comment ref="E16" authorId="0" shapeId="0" xr:uid="{0607D143-6783-4E6A-8C2B-FFA22249B13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= Delta khởi đo</t>
        </r>
      </text>
    </comment>
    <comment ref="J17" authorId="0" shapeId="0" xr:uid="{7913B226-24C9-4DE0-A47B-BB10768A99C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K + đen - đỏ</t>
        </r>
      </text>
    </comment>
    <comment ref="J18" authorId="0" shapeId="0" xr:uid="{5F189E18-049C-4477-882C-0F2B75566A2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K + đen - đỏ</t>
        </r>
      </text>
    </comment>
    <comment ref="C19" authorId="0" shapeId="0" xr:uid="{A32EA7BD-8468-4825-BD85-A90B7593471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Khoảng cách đo: (trên - dưới)/10
đvt: mét</t>
        </r>
      </text>
    </comment>
    <comment ref="E19" authorId="0" shapeId="0" xr:uid="{CB4B710E-365B-4D6B-A8A8-889C53B6BF5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Khoảng cách đo: (trên - dưới)/10
đvt: mét</t>
        </r>
      </text>
    </comment>
    <comment ref="H19" authorId="0" shapeId="0" xr:uid="{4A5A96DF-FD6A-42BE-BD3D-8E89D6A43AB7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Chênh cao đo (mm)</t>
        </r>
      </text>
    </comment>
    <comment ref="I19" authorId="0" shapeId="0" xr:uid="{33B8C422-5CF2-418E-B5AA-B6169E28B0B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Chênh cao đo (mm)</t>
        </r>
      </text>
    </comment>
    <comment ref="J19" authorId="0" shapeId="0" xr:uid="{23D5CB01-4ADC-4A19-8A07-EF1A7A590E4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K + đen - đỏ</t>
        </r>
      </text>
    </comment>
    <comment ref="K19" authorId="0" shapeId="0" xr:uid="{3F808814-B351-4D2C-8082-468498C4F821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Số đọc mặt đen - K</t>
        </r>
      </text>
    </comment>
    <comment ref="C20" authorId="0" shapeId="0" xr:uid="{A7F7BED2-8FE1-45F3-820D-17ACC138A6D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k/c sau - k/c trước (mét)</t>
        </r>
      </text>
    </comment>
    <comment ref="E20" authorId="0" shapeId="0" xr:uid="{44C431AA-CEB8-45C5-B96A-F39944354B5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= Delta trước số trước + delta sau</t>
        </r>
      </text>
    </comment>
    <comment ref="E89" authorId="0" shapeId="0" xr:uid="{80742840-AF93-47F8-BF0A-BDBBA2E3A7E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tổng tương ứng</t>
        </r>
      </text>
    </comment>
  </commentList>
</comments>
</file>

<file path=xl/sharedStrings.xml><?xml version="1.0" encoding="utf-8"?>
<sst xmlns="http://schemas.openxmlformats.org/spreadsheetml/2006/main" count="221" uniqueCount="102">
  <si>
    <t>Số</t>
  </si>
  <si>
    <t>Mia</t>
  </si>
  <si>
    <t>Chỉ trên</t>
  </si>
  <si>
    <t>Ký</t>
  </si>
  <si>
    <t>Số đọc trên mia</t>
  </si>
  <si>
    <t>Chênh</t>
  </si>
  <si>
    <t>trạm</t>
  </si>
  <si>
    <t>sau</t>
  </si>
  <si>
    <t>Chỉ dưới</t>
  </si>
  <si>
    <t>trước</t>
  </si>
  <si>
    <t>hiệu</t>
  </si>
  <si>
    <t>Mặt</t>
  </si>
  <si>
    <t>đen</t>
  </si>
  <si>
    <t>cao</t>
  </si>
  <si>
    <t>Ghi</t>
  </si>
  <si>
    <t>đo</t>
  </si>
  <si>
    <t>K/C sau</t>
  </si>
  <si>
    <t>K/C trước</t>
  </si>
  <si>
    <t>mia</t>
  </si>
  <si>
    <t>đỏ</t>
  </si>
  <si>
    <t>- đỏ</t>
  </si>
  <si>
    <t>trung</t>
  </si>
  <si>
    <t>chú</t>
  </si>
  <si>
    <t>ΔS</t>
  </si>
  <si>
    <t>ΣΔS</t>
  </si>
  <si>
    <t>bình</t>
  </si>
  <si>
    <t>S</t>
  </si>
  <si>
    <t>K1</t>
  </si>
  <si>
    <t>T</t>
  </si>
  <si>
    <t>K2</t>
  </si>
  <si>
    <t>95.0</t>
  </si>
  <si>
    <t>S-T</t>
  </si>
  <si>
    <t>-0.6</t>
  </si>
  <si>
    <t>95.6</t>
  </si>
  <si>
    <t>93.2</t>
  </si>
  <si>
    <t>95.8</t>
  </si>
  <si>
    <t>-2.6</t>
  </si>
  <si>
    <t>-0.8</t>
  </si>
  <si>
    <t>95.3</t>
  </si>
  <si>
    <t>93.6</t>
  </si>
  <si>
    <t>1.7</t>
  </si>
  <si>
    <t>0.9</t>
  </si>
  <si>
    <t>93.5</t>
  </si>
  <si>
    <t>-1.8</t>
  </si>
  <si>
    <t>-0.9</t>
  </si>
  <si>
    <t>93.3</t>
  </si>
  <si>
    <t>0.8</t>
  </si>
  <si>
    <t>94.0</t>
  </si>
  <si>
    <t>95.2</t>
  </si>
  <si>
    <t>-1.2</t>
  </si>
  <si>
    <t>-0.4</t>
  </si>
  <si>
    <t>92.9</t>
  </si>
  <si>
    <t>2.7</t>
  </si>
  <si>
    <t>2.3</t>
  </si>
  <si>
    <t>-2.4</t>
  </si>
  <si>
    <t>-0.1</t>
  </si>
  <si>
    <t>95.9</t>
  </si>
  <si>
    <t>2.2</t>
  </si>
  <si>
    <t>94.1</t>
  </si>
  <si>
    <t>95.4</t>
  </si>
  <si>
    <t>-1.3</t>
  </si>
  <si>
    <t>93.9</t>
  </si>
  <si>
    <t>-1.9</t>
  </si>
  <si>
    <t>-1.0</t>
  </si>
  <si>
    <t>94.3</t>
  </si>
  <si>
    <t>1.5</t>
  </si>
  <si>
    <t>0.5</t>
  </si>
  <si>
    <t>93.7</t>
  </si>
  <si>
    <t>96.1</t>
  </si>
  <si>
    <t>1.3</t>
  </si>
  <si>
    <t>2.6</t>
  </si>
  <si>
    <t>2.0</t>
  </si>
  <si>
    <t>-2.5</t>
  </si>
  <si>
    <t>-0.5</t>
  </si>
  <si>
    <t>1.0</t>
  </si>
  <si>
    <t>92.0</t>
  </si>
  <si>
    <t>96.2</t>
  </si>
  <si>
    <t>-4.2</t>
  </si>
  <si>
    <t>-3.2</t>
  </si>
  <si>
    <t>Tổng</t>
  </si>
  <si>
    <t>1794.9</t>
  </si>
  <si>
    <t>1798.1</t>
  </si>
  <si>
    <t>K</t>
  </si>
  <si>
    <t>+ đen</t>
  </si>
  <si>
    <t>SỔ ĐO THỦY CHUẨN HẠNG 4</t>
  </si>
  <si>
    <t>Bắt đầu lúc:</t>
  </si>
  <si>
    <t>Kết thúc lúc:</t>
  </si>
  <si>
    <t>Đo từ:</t>
  </si>
  <si>
    <t>Đến:</t>
  </si>
  <si>
    <t>Thời tiết:</t>
  </si>
  <si>
    <t>Ngày đo:</t>
  </si>
  <si>
    <t>Người đo:</t>
  </si>
  <si>
    <t>Người ghi:</t>
  </si>
  <si>
    <t>Người kiểm tra:</t>
  </si>
  <si>
    <t>(tên mốc mua)</t>
  </si>
  <si>
    <t>(mốc GPSIV- gần nhất)</t>
  </si>
  <si>
    <t>(theo nhật ký)</t>
  </si>
  <si>
    <t>Hằng số mia K</t>
  </si>
  <si>
    <t>Lđo / 2 =</t>
  </si>
  <si>
    <t>± 0,5 x</t>
  </si>
  <si>
    <t>±20 x sqrt (C96)</t>
  </si>
  <si>
    <t>80~96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</si>
</sst>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3"/>
      <scheme val="minor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0" xfId="0" applyFont="1" applyBorder="1" applyAlignment="1">
      <alignment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5" fillId="0" borderId="0" xfId="0" applyFont="1" applyAlignment="1">
      <alignment vertical="center"/>
    </xf>
    <xf numFmtId="0" fontId="2" fillId="3" borderId="1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8" fillId="2" borderId="1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6F75-27A6-4C64-9723-E98C29B5AD27}">
  <dimension ref="A1:O97"/>
  <sheetViews>
    <sheetView tabSelected="1" workbookViewId="0">
      <selection sqref="A1:L1"/>
    </sheetView>
  </sheetViews>
  <sheetFormatPr defaultRowHeight="15.75" x14ac:dyDescent="0.25"/>
  <cols>
    <col min="1" max="2" width="9.140625" style="1"/>
    <col min="3" max="3" width="14.5703125" style="1" bestFit="1" customWidth="1"/>
    <col min="4" max="9" width="9.140625" style="1"/>
    <col min="10" max="10" width="9.42578125" style="1" bestFit="1" customWidth="1"/>
    <col min="11" max="16384" width="9.140625" style="1"/>
  </cols>
  <sheetData>
    <row r="1" spans="1:15" ht="20.25" x14ac:dyDescent="0.25">
      <c r="A1" s="23" t="s">
        <v>84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3" spans="1:15" x14ac:dyDescent="0.25">
      <c r="A3" s="1" t="s">
        <v>87</v>
      </c>
      <c r="C3" s="17" t="s">
        <v>94</v>
      </c>
      <c r="H3" s="1" t="s">
        <v>88</v>
      </c>
      <c r="J3" s="17" t="s">
        <v>95</v>
      </c>
    </row>
    <row r="4" spans="1:15" x14ac:dyDescent="0.25">
      <c r="A4" s="1" t="s">
        <v>85</v>
      </c>
      <c r="H4" s="1" t="s">
        <v>90</v>
      </c>
      <c r="J4" s="17" t="s">
        <v>96</v>
      </c>
    </row>
    <row r="5" spans="1:15" x14ac:dyDescent="0.25">
      <c r="A5" s="1" t="s">
        <v>86</v>
      </c>
      <c r="H5" s="1" t="s">
        <v>91</v>
      </c>
    </row>
    <row r="6" spans="1:15" x14ac:dyDescent="0.25">
      <c r="A6" s="1" t="s">
        <v>89</v>
      </c>
      <c r="H6" s="1" t="s">
        <v>92</v>
      </c>
    </row>
    <row r="7" spans="1:15" x14ac:dyDescent="0.25">
      <c r="H7" s="1" t="s">
        <v>93</v>
      </c>
    </row>
    <row r="9" spans="1:15" x14ac:dyDescent="0.25">
      <c r="A9" s="7" t="s">
        <v>0</v>
      </c>
      <c r="B9" s="4" t="s">
        <v>1</v>
      </c>
      <c r="C9" s="2" t="s">
        <v>2</v>
      </c>
      <c r="D9" s="4" t="s">
        <v>1</v>
      </c>
      <c r="E9" s="2" t="s">
        <v>2</v>
      </c>
      <c r="F9" s="30" t="s">
        <v>3</v>
      </c>
      <c r="G9" s="31"/>
      <c r="H9" s="27" t="s">
        <v>4</v>
      </c>
      <c r="I9" s="28"/>
      <c r="J9" s="4" t="s">
        <v>82</v>
      </c>
      <c r="K9" s="10" t="s">
        <v>5</v>
      </c>
      <c r="L9" s="4"/>
    </row>
    <row r="10" spans="1:15" x14ac:dyDescent="0.25">
      <c r="A10" s="8" t="s">
        <v>6</v>
      </c>
      <c r="B10" s="6" t="s">
        <v>7</v>
      </c>
      <c r="C10" s="2" t="s">
        <v>8</v>
      </c>
      <c r="D10" s="6" t="s">
        <v>9</v>
      </c>
      <c r="E10" s="2" t="s">
        <v>8</v>
      </c>
      <c r="F10" s="25" t="s">
        <v>10</v>
      </c>
      <c r="G10" s="26"/>
      <c r="H10" s="4" t="s">
        <v>11</v>
      </c>
      <c r="I10" s="4" t="s">
        <v>11</v>
      </c>
      <c r="J10" s="15" t="s">
        <v>83</v>
      </c>
      <c r="K10" s="11" t="s">
        <v>13</v>
      </c>
      <c r="L10" s="5" t="s">
        <v>14</v>
      </c>
    </row>
    <row r="11" spans="1:15" x14ac:dyDescent="0.25">
      <c r="A11" s="8" t="s">
        <v>15</v>
      </c>
      <c r="B11" s="27" t="s">
        <v>16</v>
      </c>
      <c r="C11" s="28"/>
      <c r="D11" s="27" t="s">
        <v>17</v>
      </c>
      <c r="E11" s="28"/>
      <c r="F11" s="25" t="s">
        <v>18</v>
      </c>
      <c r="G11" s="26"/>
      <c r="H11" s="5" t="s">
        <v>12</v>
      </c>
      <c r="I11" s="5" t="s">
        <v>19</v>
      </c>
      <c r="J11" s="5" t="s">
        <v>20</v>
      </c>
      <c r="K11" s="11" t="s">
        <v>21</v>
      </c>
      <c r="L11" s="5" t="s">
        <v>22</v>
      </c>
    </row>
    <row r="12" spans="1:15" x14ac:dyDescent="0.25">
      <c r="A12" s="9"/>
      <c r="B12" s="27" t="s">
        <v>23</v>
      </c>
      <c r="C12" s="28"/>
      <c r="D12" s="27" t="s">
        <v>24</v>
      </c>
      <c r="E12" s="28"/>
      <c r="F12" s="9"/>
      <c r="G12" s="14"/>
      <c r="H12" s="6"/>
      <c r="I12" s="6"/>
      <c r="J12" s="6"/>
      <c r="K12" s="12" t="s">
        <v>25</v>
      </c>
      <c r="L12" s="6"/>
      <c r="N12" s="1" t="s">
        <v>97</v>
      </c>
    </row>
    <row r="13" spans="1:15" x14ac:dyDescent="0.25">
      <c r="A13" s="24">
        <v>1</v>
      </c>
      <c r="B13" s="13"/>
      <c r="C13" s="13">
        <v>1979</v>
      </c>
      <c r="D13" s="13"/>
      <c r="E13" s="13">
        <v>1995</v>
      </c>
      <c r="F13" s="29" t="s">
        <v>26</v>
      </c>
      <c r="G13" s="29"/>
      <c r="H13" s="13">
        <v>1509</v>
      </c>
      <c r="I13" s="13">
        <v>6084</v>
      </c>
      <c r="J13" s="19">
        <f>+N13+H13-I13</f>
        <v>0</v>
      </c>
      <c r="K13" s="3"/>
      <c r="L13" s="3" t="s">
        <v>27</v>
      </c>
      <c r="N13" s="17">
        <v>4575</v>
      </c>
    </row>
    <row r="14" spans="1:15" x14ac:dyDescent="0.25">
      <c r="A14" s="24"/>
      <c r="B14" s="3"/>
      <c r="C14" s="3">
        <v>1035</v>
      </c>
      <c r="D14" s="3"/>
      <c r="E14" s="3">
        <v>1045</v>
      </c>
      <c r="F14" s="24" t="s">
        <v>28</v>
      </c>
      <c r="G14" s="24"/>
      <c r="H14" s="3">
        <v>1520</v>
      </c>
      <c r="I14" s="3">
        <v>5995</v>
      </c>
      <c r="J14" s="19">
        <f>+N14+H14-I14</f>
        <v>0</v>
      </c>
      <c r="K14" s="3"/>
      <c r="L14" s="3" t="s">
        <v>29</v>
      </c>
      <c r="N14" s="17">
        <v>4475</v>
      </c>
      <c r="O14" s="17"/>
    </row>
    <row r="15" spans="1:15" x14ac:dyDescent="0.25">
      <c r="A15" s="24"/>
      <c r="B15" s="3"/>
      <c r="C15" s="16">
        <f>+(C13-C14)/10</f>
        <v>94.4</v>
      </c>
      <c r="D15" s="3" t="s">
        <v>101</v>
      </c>
      <c r="E15" s="16">
        <f>+(E13-E14)/10</f>
        <v>95</v>
      </c>
      <c r="F15" s="24" t="s">
        <v>31</v>
      </c>
      <c r="G15" s="24"/>
      <c r="H15" s="16">
        <f>+(H13-H14)</f>
        <v>-11</v>
      </c>
      <c r="I15" s="16">
        <f>+(I13-I14)</f>
        <v>89</v>
      </c>
      <c r="J15" s="19">
        <f>+J13-J14</f>
        <v>0</v>
      </c>
      <c r="K15" s="3">
        <v>-11</v>
      </c>
      <c r="L15" s="3"/>
      <c r="N15" s="17">
        <v>100</v>
      </c>
    </row>
    <row r="16" spans="1:15" x14ac:dyDescent="0.25">
      <c r="A16" s="24"/>
      <c r="B16" s="3"/>
      <c r="C16" s="16">
        <f>+C15-E15</f>
        <v>-0.59999999999999432</v>
      </c>
      <c r="D16" s="3"/>
      <c r="E16" s="18">
        <f>C16</f>
        <v>-0.59999999999999432</v>
      </c>
      <c r="F16" s="24"/>
      <c r="G16" s="24"/>
      <c r="H16" s="3"/>
      <c r="I16" s="3"/>
      <c r="J16" s="3"/>
      <c r="K16" s="3"/>
      <c r="L16" s="3"/>
    </row>
    <row r="17" spans="1:14" x14ac:dyDescent="0.25">
      <c r="A17" s="24">
        <v>2</v>
      </c>
      <c r="B17" s="3"/>
      <c r="C17" s="3">
        <v>2029</v>
      </c>
      <c r="D17" s="3"/>
      <c r="E17" s="3">
        <v>1971</v>
      </c>
      <c r="F17" s="24" t="s">
        <v>26</v>
      </c>
      <c r="G17" s="24"/>
      <c r="H17" s="3">
        <v>1552</v>
      </c>
      <c r="I17" s="3">
        <v>6029</v>
      </c>
      <c r="J17" s="19">
        <f>+N17+H17-I17-N19</f>
        <v>-2</v>
      </c>
      <c r="K17" s="3"/>
      <c r="L17" s="3" t="s">
        <v>29</v>
      </c>
      <c r="N17" s="17">
        <v>4575</v>
      </c>
    </row>
    <row r="18" spans="1:14" x14ac:dyDescent="0.25">
      <c r="A18" s="24"/>
      <c r="B18" s="3"/>
      <c r="C18" s="3">
        <v>1073</v>
      </c>
      <c r="D18" s="3"/>
      <c r="E18" s="3">
        <v>1039</v>
      </c>
      <c r="F18" s="24" t="s">
        <v>28</v>
      </c>
      <c r="G18" s="24"/>
      <c r="H18" s="3">
        <v>1505</v>
      </c>
      <c r="I18" s="3">
        <v>6081</v>
      </c>
      <c r="J18" s="19">
        <f>+N18+H18-I18+N19</f>
        <v>-1</v>
      </c>
      <c r="K18" s="3"/>
      <c r="L18" s="3" t="s">
        <v>27</v>
      </c>
      <c r="N18" s="17">
        <v>4475</v>
      </c>
    </row>
    <row r="19" spans="1:14" x14ac:dyDescent="0.25">
      <c r="A19" s="24"/>
      <c r="B19" s="3"/>
      <c r="C19" s="16">
        <f>+(C17-C18)/10</f>
        <v>95.6</v>
      </c>
      <c r="D19" s="3"/>
      <c r="E19" s="16">
        <f>+(E17-E18)/10</f>
        <v>93.2</v>
      </c>
      <c r="F19" s="24" t="s">
        <v>31</v>
      </c>
      <c r="G19" s="24"/>
      <c r="H19" s="16">
        <f>+(H17-H18)</f>
        <v>47</v>
      </c>
      <c r="I19" s="16">
        <f>+(I17-I18)</f>
        <v>-52</v>
      </c>
      <c r="J19" s="19">
        <f>+J17-J18</f>
        <v>-1</v>
      </c>
      <c r="K19" s="16">
        <f>+H19-J19</f>
        <v>48</v>
      </c>
      <c r="L19" s="3"/>
      <c r="N19" s="17">
        <v>100</v>
      </c>
    </row>
    <row r="20" spans="1:14" x14ac:dyDescent="0.25">
      <c r="A20" s="24"/>
      <c r="B20" s="3"/>
      <c r="C20" s="16">
        <f>+C19-E19</f>
        <v>2.3999999999999915</v>
      </c>
      <c r="D20" s="3"/>
      <c r="E20" s="16">
        <f>E16+C20</f>
        <v>1.7999999999999972</v>
      </c>
      <c r="F20" s="24"/>
      <c r="G20" s="24"/>
      <c r="H20" s="3"/>
      <c r="I20" s="3"/>
      <c r="J20" s="3"/>
      <c r="K20" s="3"/>
      <c r="L20" s="3"/>
    </row>
    <row r="21" spans="1:14" x14ac:dyDescent="0.25">
      <c r="A21" s="24">
        <v>3</v>
      </c>
      <c r="B21" s="3"/>
      <c r="C21" s="3">
        <v>1963</v>
      </c>
      <c r="D21" s="3"/>
      <c r="E21" s="3">
        <v>1926</v>
      </c>
      <c r="F21" s="24" t="s">
        <v>26</v>
      </c>
      <c r="G21" s="24"/>
      <c r="H21" s="3">
        <v>1497</v>
      </c>
      <c r="I21" s="3">
        <v>6072</v>
      </c>
      <c r="J21" s="3">
        <v>0</v>
      </c>
      <c r="K21" s="3"/>
      <c r="L21" s="3" t="s">
        <v>27</v>
      </c>
    </row>
    <row r="22" spans="1:14" x14ac:dyDescent="0.25">
      <c r="A22" s="24"/>
      <c r="B22" s="3"/>
      <c r="C22" s="3">
        <v>1031</v>
      </c>
      <c r="D22" s="3"/>
      <c r="E22" s="3">
        <v>968</v>
      </c>
      <c r="F22" s="24" t="s">
        <v>28</v>
      </c>
      <c r="G22" s="24"/>
      <c r="H22" s="3">
        <v>1449</v>
      </c>
      <c r="I22" s="3">
        <v>5923</v>
      </c>
      <c r="J22" s="3">
        <v>1</v>
      </c>
      <c r="K22" s="3"/>
      <c r="L22" s="3" t="s">
        <v>29</v>
      </c>
      <c r="N22" s="1">
        <f>+(E21+E22)/2</f>
        <v>1447</v>
      </c>
    </row>
    <row r="23" spans="1:14" x14ac:dyDescent="0.25">
      <c r="A23" s="24"/>
      <c r="B23" s="3"/>
      <c r="C23" s="3" t="s">
        <v>34</v>
      </c>
      <c r="D23" s="3"/>
      <c r="E23" s="3" t="s">
        <v>35</v>
      </c>
      <c r="F23" s="24" t="s">
        <v>31</v>
      </c>
      <c r="G23" s="24"/>
      <c r="H23" s="3">
        <v>48</v>
      </c>
      <c r="I23" s="3">
        <v>149</v>
      </c>
      <c r="J23" s="3">
        <v>-1</v>
      </c>
      <c r="K23" s="3">
        <v>48</v>
      </c>
      <c r="L23" s="3"/>
    </row>
    <row r="24" spans="1:14" x14ac:dyDescent="0.25">
      <c r="A24" s="24"/>
      <c r="B24" s="3"/>
      <c r="C24" s="3" t="s">
        <v>36</v>
      </c>
      <c r="D24" s="3"/>
      <c r="E24" s="3" t="s">
        <v>37</v>
      </c>
      <c r="F24" s="24"/>
      <c r="G24" s="24"/>
      <c r="H24" s="3"/>
      <c r="I24" s="3"/>
      <c r="J24" s="3"/>
      <c r="K24" s="3"/>
      <c r="L24" s="3"/>
    </row>
    <row r="25" spans="1:14" x14ac:dyDescent="0.25">
      <c r="A25" s="24">
        <v>4</v>
      </c>
      <c r="B25" s="3"/>
      <c r="C25" s="3">
        <v>1945</v>
      </c>
      <c r="D25" s="3"/>
      <c r="E25" s="3">
        <v>1962</v>
      </c>
      <c r="F25" s="24" t="s">
        <v>26</v>
      </c>
      <c r="G25" s="24"/>
      <c r="H25" s="3">
        <v>1469</v>
      </c>
      <c r="I25" s="3">
        <v>5944</v>
      </c>
      <c r="J25" s="3">
        <v>0</v>
      </c>
      <c r="K25" s="3"/>
      <c r="L25" s="3" t="s">
        <v>29</v>
      </c>
    </row>
    <row r="26" spans="1:14" x14ac:dyDescent="0.25">
      <c r="A26" s="24"/>
      <c r="B26" s="3"/>
      <c r="C26" s="3">
        <v>992</v>
      </c>
      <c r="D26" s="3"/>
      <c r="E26" s="3">
        <v>1026</v>
      </c>
      <c r="F26" s="24" t="s">
        <v>28</v>
      </c>
      <c r="G26" s="24"/>
      <c r="H26" s="3">
        <v>1496</v>
      </c>
      <c r="I26" s="3">
        <v>6071</v>
      </c>
      <c r="J26" s="3">
        <v>0</v>
      </c>
      <c r="K26" s="3"/>
      <c r="L26" s="3" t="s">
        <v>27</v>
      </c>
      <c r="N26" s="1">
        <f>+(E25+E26)/2</f>
        <v>1494</v>
      </c>
    </row>
    <row r="27" spans="1:14" x14ac:dyDescent="0.25">
      <c r="A27" s="24"/>
      <c r="B27" s="3"/>
      <c r="C27" s="3" t="s">
        <v>38</v>
      </c>
      <c r="D27" s="3"/>
      <c r="E27" s="3" t="s">
        <v>39</v>
      </c>
      <c r="F27" s="24" t="s">
        <v>31</v>
      </c>
      <c r="G27" s="24"/>
      <c r="H27" s="3">
        <v>-27</v>
      </c>
      <c r="I27" s="3">
        <v>-127</v>
      </c>
      <c r="J27" s="3">
        <v>0</v>
      </c>
      <c r="K27" s="3">
        <v>-27</v>
      </c>
      <c r="L27" s="3"/>
    </row>
    <row r="28" spans="1:14" x14ac:dyDescent="0.25">
      <c r="A28" s="24"/>
      <c r="B28" s="3"/>
      <c r="C28" s="3" t="s">
        <v>40</v>
      </c>
      <c r="D28" s="3"/>
      <c r="E28" s="3" t="s">
        <v>41</v>
      </c>
      <c r="F28" s="24"/>
      <c r="G28" s="24"/>
      <c r="H28" s="3"/>
      <c r="I28" s="3"/>
      <c r="J28" s="3"/>
      <c r="K28" s="3"/>
      <c r="L28" s="3"/>
    </row>
    <row r="29" spans="1:14" x14ac:dyDescent="0.25">
      <c r="A29" s="24">
        <v>5</v>
      </c>
      <c r="B29" s="3"/>
      <c r="C29" s="3">
        <v>1982</v>
      </c>
      <c r="D29" s="3"/>
      <c r="E29" s="3">
        <v>1950</v>
      </c>
      <c r="F29" s="24" t="s">
        <v>26</v>
      </c>
      <c r="G29" s="24"/>
      <c r="H29" s="3">
        <v>1516</v>
      </c>
      <c r="I29" s="3">
        <v>6091</v>
      </c>
      <c r="J29" s="3">
        <v>0</v>
      </c>
      <c r="K29" s="3"/>
      <c r="L29" s="3" t="s">
        <v>27</v>
      </c>
    </row>
    <row r="30" spans="1:14" x14ac:dyDescent="0.25">
      <c r="A30" s="24"/>
      <c r="B30" s="3"/>
      <c r="C30" s="3">
        <v>1047</v>
      </c>
      <c r="D30" s="3"/>
      <c r="E30" s="3">
        <v>997</v>
      </c>
      <c r="F30" s="24" t="s">
        <v>28</v>
      </c>
      <c r="G30" s="24"/>
      <c r="H30" s="3">
        <v>1475</v>
      </c>
      <c r="I30" s="3">
        <v>5949</v>
      </c>
      <c r="J30" s="3">
        <v>1</v>
      </c>
      <c r="K30" s="3"/>
      <c r="L30" s="3" t="s">
        <v>29</v>
      </c>
      <c r="N30" s="1">
        <f>+(E29+E30)/2</f>
        <v>1473.5</v>
      </c>
    </row>
    <row r="31" spans="1:14" x14ac:dyDescent="0.25">
      <c r="A31" s="24"/>
      <c r="B31" s="3"/>
      <c r="C31" s="3" t="s">
        <v>42</v>
      </c>
      <c r="D31" s="3"/>
      <c r="E31" s="3" t="s">
        <v>38</v>
      </c>
      <c r="F31" s="24" t="s">
        <v>31</v>
      </c>
      <c r="G31" s="24"/>
      <c r="H31" s="3">
        <v>41</v>
      </c>
      <c r="I31" s="3">
        <v>142</v>
      </c>
      <c r="J31" s="3">
        <v>-1</v>
      </c>
      <c r="K31" s="3">
        <v>42</v>
      </c>
      <c r="L31" s="3"/>
    </row>
    <row r="32" spans="1:14" x14ac:dyDescent="0.25">
      <c r="A32" s="24"/>
      <c r="B32" s="3"/>
      <c r="C32" s="3" t="s">
        <v>43</v>
      </c>
      <c r="D32" s="3"/>
      <c r="E32" s="3" t="s">
        <v>44</v>
      </c>
      <c r="F32" s="24"/>
      <c r="G32" s="24"/>
      <c r="H32" s="3"/>
      <c r="I32" s="3"/>
      <c r="J32" s="3"/>
      <c r="K32" s="3"/>
      <c r="L32" s="3"/>
    </row>
    <row r="33" spans="1:12" x14ac:dyDescent="0.25">
      <c r="A33" s="24">
        <v>6</v>
      </c>
      <c r="B33" s="3"/>
      <c r="C33" s="3">
        <v>2063</v>
      </c>
      <c r="D33" s="3"/>
      <c r="E33" s="3">
        <v>2010</v>
      </c>
      <c r="F33" s="24" t="s">
        <v>26</v>
      </c>
      <c r="G33" s="24"/>
      <c r="H33" s="3">
        <v>1588</v>
      </c>
      <c r="I33" s="3">
        <v>6065</v>
      </c>
      <c r="J33" s="3">
        <v>-2</v>
      </c>
      <c r="K33" s="3"/>
      <c r="L33" s="3" t="s">
        <v>29</v>
      </c>
    </row>
    <row r="34" spans="1:12" x14ac:dyDescent="0.25">
      <c r="A34" s="24"/>
      <c r="B34" s="3"/>
      <c r="C34" s="3">
        <v>1113</v>
      </c>
      <c r="D34" s="3"/>
      <c r="E34" s="3">
        <v>1077</v>
      </c>
      <c r="F34" s="24" t="s">
        <v>28</v>
      </c>
      <c r="G34" s="24"/>
      <c r="H34" s="3">
        <v>1544</v>
      </c>
      <c r="I34" s="3">
        <v>6120</v>
      </c>
      <c r="J34" s="3">
        <v>-1</v>
      </c>
      <c r="K34" s="3"/>
      <c r="L34" s="3" t="s">
        <v>27</v>
      </c>
    </row>
    <row r="35" spans="1:12" x14ac:dyDescent="0.25">
      <c r="A35" s="24"/>
      <c r="B35" s="3"/>
      <c r="C35" s="3" t="s">
        <v>30</v>
      </c>
      <c r="D35" s="3"/>
      <c r="E35" s="3" t="s">
        <v>45</v>
      </c>
      <c r="F35" s="24" t="s">
        <v>31</v>
      </c>
      <c r="G35" s="24"/>
      <c r="H35" s="3">
        <v>44</v>
      </c>
      <c r="I35" s="3">
        <v>-55</v>
      </c>
      <c r="J35" s="3">
        <v>-1</v>
      </c>
      <c r="K35" s="3">
        <v>44</v>
      </c>
      <c r="L35" s="3"/>
    </row>
    <row r="36" spans="1:12" x14ac:dyDescent="0.25">
      <c r="A36" s="24"/>
      <c r="B36" s="3"/>
      <c r="C36" s="3" t="s">
        <v>40</v>
      </c>
      <c r="D36" s="3"/>
      <c r="E36" s="3" t="s">
        <v>46</v>
      </c>
      <c r="F36" s="24"/>
      <c r="G36" s="24"/>
      <c r="H36" s="3"/>
      <c r="I36" s="3"/>
      <c r="J36" s="3"/>
      <c r="K36" s="3"/>
      <c r="L36" s="3"/>
    </row>
    <row r="37" spans="1:12" x14ac:dyDescent="0.25">
      <c r="A37" s="24">
        <v>7</v>
      </c>
      <c r="B37" s="3"/>
      <c r="C37" s="3">
        <v>1960</v>
      </c>
      <c r="D37" s="3"/>
      <c r="E37" s="3">
        <v>1931</v>
      </c>
      <c r="F37" s="24" t="s">
        <v>26</v>
      </c>
      <c r="G37" s="24"/>
      <c r="H37" s="3">
        <v>1490</v>
      </c>
      <c r="I37" s="3">
        <v>6065</v>
      </c>
      <c r="J37" s="3">
        <v>0</v>
      </c>
      <c r="K37" s="3"/>
      <c r="L37" s="3" t="s">
        <v>27</v>
      </c>
    </row>
    <row r="38" spans="1:12" x14ac:dyDescent="0.25">
      <c r="A38" s="24"/>
      <c r="B38" s="3"/>
      <c r="C38" s="3">
        <v>1020</v>
      </c>
      <c r="D38" s="3"/>
      <c r="E38" s="3">
        <v>979</v>
      </c>
      <c r="F38" s="24" t="s">
        <v>28</v>
      </c>
      <c r="G38" s="24"/>
      <c r="H38" s="3">
        <v>1455</v>
      </c>
      <c r="I38" s="3">
        <v>5931</v>
      </c>
      <c r="J38" s="3">
        <v>-1</v>
      </c>
      <c r="K38" s="3"/>
      <c r="L38" s="3" t="s">
        <v>29</v>
      </c>
    </row>
    <row r="39" spans="1:12" x14ac:dyDescent="0.25">
      <c r="A39" s="24"/>
      <c r="B39" s="3"/>
      <c r="C39" s="3" t="s">
        <v>47</v>
      </c>
      <c r="D39" s="3"/>
      <c r="E39" s="3" t="s">
        <v>48</v>
      </c>
      <c r="F39" s="24" t="s">
        <v>31</v>
      </c>
      <c r="G39" s="24"/>
      <c r="H39" s="3">
        <v>35</v>
      </c>
      <c r="I39" s="3">
        <v>134</v>
      </c>
      <c r="J39" s="3">
        <v>1</v>
      </c>
      <c r="K39" s="3">
        <v>34</v>
      </c>
      <c r="L39" s="3"/>
    </row>
    <row r="40" spans="1:12" x14ac:dyDescent="0.25">
      <c r="A40" s="24"/>
      <c r="B40" s="3"/>
      <c r="C40" s="3" t="s">
        <v>49</v>
      </c>
      <c r="D40" s="3"/>
      <c r="E40" s="3" t="s">
        <v>50</v>
      </c>
      <c r="F40" s="24"/>
      <c r="G40" s="24"/>
      <c r="H40" s="3"/>
      <c r="I40" s="3"/>
      <c r="J40" s="3"/>
      <c r="K40" s="3"/>
      <c r="L40" s="3"/>
    </row>
    <row r="41" spans="1:12" x14ac:dyDescent="0.25">
      <c r="A41" s="24">
        <v>8</v>
      </c>
      <c r="B41" s="3"/>
      <c r="C41" s="3">
        <v>2094</v>
      </c>
      <c r="D41" s="3"/>
      <c r="E41" s="3">
        <v>2034</v>
      </c>
      <c r="F41" s="24" t="s">
        <v>26</v>
      </c>
      <c r="G41" s="24"/>
      <c r="H41" s="3">
        <v>1617</v>
      </c>
      <c r="I41" s="3">
        <v>6092</v>
      </c>
      <c r="J41" s="3">
        <v>0</v>
      </c>
      <c r="K41" s="3"/>
      <c r="L41" s="3" t="s">
        <v>29</v>
      </c>
    </row>
    <row r="42" spans="1:12" x14ac:dyDescent="0.25">
      <c r="A42" s="24"/>
      <c r="B42" s="3"/>
      <c r="C42" s="3">
        <v>1138</v>
      </c>
      <c r="D42" s="3"/>
      <c r="E42" s="3">
        <v>1105</v>
      </c>
      <c r="F42" s="24" t="s">
        <v>28</v>
      </c>
      <c r="G42" s="24"/>
      <c r="H42" s="3">
        <v>1570</v>
      </c>
      <c r="I42" s="3">
        <v>6145</v>
      </c>
      <c r="J42" s="3">
        <v>0</v>
      </c>
      <c r="K42" s="3"/>
      <c r="L42" s="3" t="s">
        <v>27</v>
      </c>
    </row>
    <row r="43" spans="1:12" x14ac:dyDescent="0.25">
      <c r="A43" s="24"/>
      <c r="B43" s="3"/>
      <c r="C43" s="3" t="s">
        <v>33</v>
      </c>
      <c r="D43" s="3"/>
      <c r="E43" s="3" t="s">
        <v>51</v>
      </c>
      <c r="F43" s="24" t="s">
        <v>31</v>
      </c>
      <c r="G43" s="24"/>
      <c r="H43" s="3">
        <v>47</v>
      </c>
      <c r="I43" s="3">
        <v>-53</v>
      </c>
      <c r="J43" s="3">
        <v>0</v>
      </c>
      <c r="K43" s="3">
        <v>47</v>
      </c>
      <c r="L43" s="3"/>
    </row>
    <row r="44" spans="1:12" x14ac:dyDescent="0.25">
      <c r="A44" s="24"/>
      <c r="B44" s="3"/>
      <c r="C44" s="3" t="s">
        <v>52</v>
      </c>
      <c r="D44" s="3"/>
      <c r="E44" s="3" t="s">
        <v>53</v>
      </c>
      <c r="F44" s="24"/>
      <c r="G44" s="24"/>
      <c r="H44" s="3"/>
      <c r="I44" s="3"/>
      <c r="J44" s="3"/>
      <c r="K44" s="3"/>
      <c r="L44" s="3"/>
    </row>
    <row r="45" spans="1:12" x14ac:dyDescent="0.25">
      <c r="A45" s="24">
        <v>9</v>
      </c>
      <c r="B45" s="3"/>
      <c r="C45" s="3">
        <v>2071</v>
      </c>
      <c r="D45" s="3"/>
      <c r="E45" s="3">
        <v>2050</v>
      </c>
      <c r="F45" s="24" t="s">
        <v>26</v>
      </c>
      <c r="G45" s="24"/>
      <c r="H45" s="3">
        <v>1606</v>
      </c>
      <c r="I45" s="3">
        <v>6180</v>
      </c>
      <c r="J45" s="3">
        <v>1</v>
      </c>
      <c r="K45" s="3"/>
      <c r="L45" s="3" t="s">
        <v>27</v>
      </c>
    </row>
    <row r="46" spans="1:12" x14ac:dyDescent="0.25">
      <c r="A46" s="24"/>
      <c r="B46" s="3"/>
      <c r="C46" s="3">
        <v>1142</v>
      </c>
      <c r="D46" s="3"/>
      <c r="E46" s="3">
        <v>1097</v>
      </c>
      <c r="F46" s="24" t="s">
        <v>28</v>
      </c>
      <c r="G46" s="24"/>
      <c r="H46" s="3">
        <v>1574</v>
      </c>
      <c r="I46" s="3">
        <v>6050</v>
      </c>
      <c r="J46" s="3">
        <v>-1</v>
      </c>
      <c r="K46" s="3"/>
      <c r="L46" s="3" t="s">
        <v>29</v>
      </c>
    </row>
    <row r="47" spans="1:12" x14ac:dyDescent="0.25">
      <c r="A47" s="24"/>
      <c r="B47" s="3"/>
      <c r="C47" s="3" t="s">
        <v>51</v>
      </c>
      <c r="D47" s="3"/>
      <c r="E47" s="3" t="s">
        <v>38</v>
      </c>
      <c r="F47" s="24" t="s">
        <v>31</v>
      </c>
      <c r="G47" s="24"/>
      <c r="H47" s="3">
        <v>32</v>
      </c>
      <c r="I47" s="3">
        <v>130</v>
      </c>
      <c r="J47" s="3">
        <v>2</v>
      </c>
      <c r="K47" s="3">
        <v>31</v>
      </c>
      <c r="L47" s="3"/>
    </row>
    <row r="48" spans="1:12" x14ac:dyDescent="0.25">
      <c r="A48" s="24"/>
      <c r="B48" s="3"/>
      <c r="C48" s="3" t="s">
        <v>54</v>
      </c>
      <c r="D48" s="3"/>
      <c r="E48" s="3" t="s">
        <v>55</v>
      </c>
      <c r="F48" s="24"/>
      <c r="G48" s="24"/>
      <c r="H48" s="3"/>
      <c r="I48" s="3"/>
      <c r="J48" s="3"/>
      <c r="K48" s="3"/>
      <c r="L48" s="3"/>
    </row>
    <row r="49" spans="1:12" x14ac:dyDescent="0.25">
      <c r="A49" s="24">
        <v>10</v>
      </c>
      <c r="B49" s="3"/>
      <c r="C49" s="3">
        <v>2043</v>
      </c>
      <c r="D49" s="3"/>
      <c r="E49" s="3">
        <v>1984</v>
      </c>
      <c r="F49" s="24" t="s">
        <v>26</v>
      </c>
      <c r="G49" s="24"/>
      <c r="H49" s="3">
        <v>1565</v>
      </c>
      <c r="I49" s="3">
        <v>6040</v>
      </c>
      <c r="J49" s="3">
        <v>0</v>
      </c>
      <c r="K49" s="3"/>
      <c r="L49" s="3" t="s">
        <v>29</v>
      </c>
    </row>
    <row r="50" spans="1:12" x14ac:dyDescent="0.25">
      <c r="A50" s="24"/>
      <c r="B50" s="3"/>
      <c r="C50" s="3">
        <v>1084</v>
      </c>
      <c r="D50" s="3"/>
      <c r="E50" s="3">
        <v>1048</v>
      </c>
      <c r="F50" s="24" t="s">
        <v>28</v>
      </c>
      <c r="G50" s="24"/>
      <c r="H50" s="3">
        <v>1518</v>
      </c>
      <c r="I50" s="3">
        <v>6093</v>
      </c>
      <c r="J50" s="3">
        <v>0</v>
      </c>
      <c r="K50" s="3"/>
      <c r="L50" s="3" t="s">
        <v>27</v>
      </c>
    </row>
    <row r="51" spans="1:12" x14ac:dyDescent="0.25">
      <c r="A51" s="24"/>
      <c r="B51" s="3"/>
      <c r="C51" s="3" t="s">
        <v>56</v>
      </c>
      <c r="D51" s="3"/>
      <c r="E51" s="3" t="s">
        <v>39</v>
      </c>
      <c r="F51" s="24" t="s">
        <v>31</v>
      </c>
      <c r="G51" s="24"/>
      <c r="H51" s="3">
        <v>47</v>
      </c>
      <c r="I51" s="3">
        <v>-53</v>
      </c>
      <c r="J51" s="3">
        <v>0</v>
      </c>
      <c r="K51" s="3">
        <v>47</v>
      </c>
      <c r="L51" s="3"/>
    </row>
    <row r="52" spans="1:12" x14ac:dyDescent="0.25">
      <c r="A52" s="24"/>
      <c r="B52" s="3"/>
      <c r="C52" s="3" t="s">
        <v>53</v>
      </c>
      <c r="D52" s="3"/>
      <c r="E52" s="3" t="s">
        <v>57</v>
      </c>
      <c r="F52" s="24"/>
      <c r="G52" s="24"/>
      <c r="H52" s="3"/>
      <c r="I52" s="3"/>
      <c r="J52" s="3"/>
      <c r="K52" s="3"/>
      <c r="L52" s="3"/>
    </row>
    <row r="53" spans="1:12" x14ac:dyDescent="0.25">
      <c r="A53" s="24">
        <v>11</v>
      </c>
      <c r="B53" s="3"/>
      <c r="C53" s="3">
        <v>1939</v>
      </c>
      <c r="D53" s="3"/>
      <c r="E53" s="3">
        <v>1956</v>
      </c>
      <c r="F53" s="24" t="s">
        <v>26</v>
      </c>
      <c r="G53" s="24"/>
      <c r="H53" s="3">
        <v>1470</v>
      </c>
      <c r="I53" s="3">
        <v>6044</v>
      </c>
      <c r="J53" s="3">
        <v>1</v>
      </c>
      <c r="K53" s="3"/>
      <c r="L53" s="3" t="s">
        <v>27</v>
      </c>
    </row>
    <row r="54" spans="1:12" x14ac:dyDescent="0.25">
      <c r="A54" s="24"/>
      <c r="B54" s="3"/>
      <c r="C54" s="3">
        <v>998</v>
      </c>
      <c r="D54" s="3"/>
      <c r="E54" s="3">
        <v>1002</v>
      </c>
      <c r="F54" s="24" t="s">
        <v>28</v>
      </c>
      <c r="G54" s="24"/>
      <c r="H54" s="3">
        <v>1480</v>
      </c>
      <c r="I54" s="3">
        <v>5956</v>
      </c>
      <c r="J54" s="3">
        <v>-1</v>
      </c>
      <c r="K54" s="3"/>
      <c r="L54" s="3" t="s">
        <v>29</v>
      </c>
    </row>
    <row r="55" spans="1:12" x14ac:dyDescent="0.25">
      <c r="A55" s="24"/>
      <c r="B55" s="3"/>
      <c r="C55" s="3" t="s">
        <v>58</v>
      </c>
      <c r="D55" s="3"/>
      <c r="E55" s="3" t="s">
        <v>59</v>
      </c>
      <c r="F55" s="24" t="s">
        <v>31</v>
      </c>
      <c r="G55" s="24"/>
      <c r="H55" s="3">
        <v>-10</v>
      </c>
      <c r="I55" s="3">
        <v>88</v>
      </c>
      <c r="J55" s="3">
        <v>2</v>
      </c>
      <c r="K55" s="3">
        <v>-11</v>
      </c>
      <c r="L55" s="3"/>
    </row>
    <row r="56" spans="1:12" x14ac:dyDescent="0.25">
      <c r="A56" s="24"/>
      <c r="B56" s="3"/>
      <c r="C56" s="3" t="s">
        <v>60</v>
      </c>
      <c r="D56" s="3"/>
      <c r="E56" s="3" t="s">
        <v>41</v>
      </c>
      <c r="F56" s="24"/>
      <c r="G56" s="24"/>
      <c r="H56" s="3"/>
      <c r="I56" s="3"/>
      <c r="J56" s="3"/>
      <c r="K56" s="3"/>
      <c r="L56" s="3"/>
    </row>
    <row r="57" spans="1:12" x14ac:dyDescent="0.25">
      <c r="A57" s="24">
        <v>12</v>
      </c>
      <c r="B57" s="3"/>
      <c r="C57" s="3">
        <v>2009</v>
      </c>
      <c r="D57" s="3"/>
      <c r="E57" s="3">
        <v>2048</v>
      </c>
      <c r="F57" s="24" t="s">
        <v>26</v>
      </c>
      <c r="G57" s="24"/>
      <c r="H57" s="3">
        <v>1542</v>
      </c>
      <c r="I57" s="3">
        <v>6017</v>
      </c>
      <c r="J57" s="3">
        <v>0</v>
      </c>
      <c r="K57" s="3"/>
      <c r="L57" s="3" t="s">
        <v>29</v>
      </c>
    </row>
    <row r="58" spans="1:12" x14ac:dyDescent="0.25">
      <c r="A58" s="24"/>
      <c r="B58" s="3"/>
      <c r="C58" s="3">
        <v>1070</v>
      </c>
      <c r="D58" s="3"/>
      <c r="E58" s="3">
        <v>1090</v>
      </c>
      <c r="F58" s="24" t="s">
        <v>28</v>
      </c>
      <c r="G58" s="24"/>
      <c r="H58" s="3">
        <v>1571</v>
      </c>
      <c r="I58" s="3">
        <v>6145</v>
      </c>
      <c r="J58" s="3">
        <v>1</v>
      </c>
      <c r="K58" s="3"/>
      <c r="L58" s="3" t="s">
        <v>27</v>
      </c>
    </row>
    <row r="59" spans="1:12" x14ac:dyDescent="0.25">
      <c r="A59" s="24"/>
      <c r="B59" s="3"/>
      <c r="C59" s="3" t="s">
        <v>61</v>
      </c>
      <c r="D59" s="3"/>
      <c r="E59" s="3" t="s">
        <v>35</v>
      </c>
      <c r="F59" s="24" t="s">
        <v>31</v>
      </c>
      <c r="G59" s="24"/>
      <c r="H59" s="3">
        <v>-29</v>
      </c>
      <c r="I59" s="3">
        <v>-128</v>
      </c>
      <c r="J59" s="3">
        <v>-1</v>
      </c>
      <c r="K59" s="3">
        <v>-28</v>
      </c>
      <c r="L59" s="3"/>
    </row>
    <row r="60" spans="1:12" x14ac:dyDescent="0.25">
      <c r="A60" s="24"/>
      <c r="B60" s="3"/>
      <c r="C60" s="3" t="s">
        <v>62</v>
      </c>
      <c r="D60" s="3"/>
      <c r="E60" s="3" t="s">
        <v>63</v>
      </c>
      <c r="F60" s="24"/>
      <c r="G60" s="24"/>
      <c r="H60" s="3"/>
      <c r="I60" s="3"/>
      <c r="J60" s="3"/>
      <c r="K60" s="3"/>
      <c r="L60" s="3"/>
    </row>
    <row r="61" spans="1:12" x14ac:dyDescent="0.25">
      <c r="A61" s="24">
        <v>13</v>
      </c>
      <c r="B61" s="3"/>
      <c r="C61" s="3">
        <v>1994</v>
      </c>
      <c r="D61" s="3"/>
      <c r="E61" s="3">
        <v>1952</v>
      </c>
      <c r="F61" s="24" t="s">
        <v>26</v>
      </c>
      <c r="G61" s="24"/>
      <c r="H61" s="3">
        <v>1515</v>
      </c>
      <c r="I61" s="3">
        <v>6090</v>
      </c>
      <c r="J61" s="3">
        <v>0</v>
      </c>
      <c r="K61" s="3"/>
      <c r="L61" s="3" t="s">
        <v>27</v>
      </c>
    </row>
    <row r="62" spans="1:12" x14ac:dyDescent="0.25">
      <c r="A62" s="24"/>
      <c r="B62" s="3"/>
      <c r="C62" s="3">
        <v>1036</v>
      </c>
      <c r="D62" s="3"/>
      <c r="E62" s="3">
        <v>1009</v>
      </c>
      <c r="F62" s="24" t="s">
        <v>28</v>
      </c>
      <c r="G62" s="24"/>
      <c r="H62" s="3">
        <v>1482</v>
      </c>
      <c r="I62" s="3">
        <v>5958</v>
      </c>
      <c r="J62" s="3">
        <v>-1</v>
      </c>
      <c r="K62" s="3"/>
      <c r="L62" s="3" t="s">
        <v>29</v>
      </c>
    </row>
    <row r="63" spans="1:12" x14ac:dyDescent="0.25">
      <c r="A63" s="24"/>
      <c r="B63" s="3"/>
      <c r="C63" s="3" t="s">
        <v>35</v>
      </c>
      <c r="D63" s="3"/>
      <c r="E63" s="3" t="s">
        <v>64</v>
      </c>
      <c r="F63" s="24" t="s">
        <v>31</v>
      </c>
      <c r="G63" s="24"/>
      <c r="H63" s="3">
        <v>33</v>
      </c>
      <c r="I63" s="3">
        <v>132</v>
      </c>
      <c r="J63" s="3">
        <v>1</v>
      </c>
      <c r="K63" s="3">
        <v>32</v>
      </c>
      <c r="L63" s="3"/>
    </row>
    <row r="64" spans="1:12" x14ac:dyDescent="0.25">
      <c r="A64" s="24"/>
      <c r="B64" s="3"/>
      <c r="C64" s="3" t="s">
        <v>65</v>
      </c>
      <c r="D64" s="3"/>
      <c r="E64" s="3" t="s">
        <v>66</v>
      </c>
      <c r="F64" s="24"/>
      <c r="G64" s="24"/>
      <c r="H64" s="3"/>
      <c r="I64" s="3"/>
      <c r="J64" s="3"/>
      <c r="K64" s="3"/>
      <c r="L64" s="3"/>
    </row>
    <row r="65" spans="1:12" x14ac:dyDescent="0.25">
      <c r="A65" s="24">
        <v>14</v>
      </c>
      <c r="B65" s="3"/>
      <c r="C65" s="3">
        <v>1985</v>
      </c>
      <c r="D65" s="3"/>
      <c r="E65" s="3">
        <v>1959</v>
      </c>
      <c r="F65" s="24" t="s">
        <v>26</v>
      </c>
      <c r="G65" s="24"/>
      <c r="H65" s="3">
        <v>1516</v>
      </c>
      <c r="I65" s="3">
        <v>5993</v>
      </c>
      <c r="J65" s="3">
        <v>-2</v>
      </c>
      <c r="K65" s="3"/>
      <c r="L65" s="3" t="s">
        <v>29</v>
      </c>
    </row>
    <row r="66" spans="1:12" x14ac:dyDescent="0.25">
      <c r="A66" s="24"/>
      <c r="B66" s="3"/>
      <c r="C66" s="3">
        <v>1048</v>
      </c>
      <c r="D66" s="3"/>
      <c r="E66" s="3">
        <v>998</v>
      </c>
      <c r="F66" s="24" t="s">
        <v>28</v>
      </c>
      <c r="G66" s="24"/>
      <c r="H66" s="3">
        <v>1480</v>
      </c>
      <c r="I66" s="3">
        <v>6055</v>
      </c>
      <c r="J66" s="3">
        <v>0</v>
      </c>
      <c r="K66" s="3"/>
      <c r="L66" s="3" t="s">
        <v>27</v>
      </c>
    </row>
    <row r="67" spans="1:12" x14ac:dyDescent="0.25">
      <c r="A67" s="24"/>
      <c r="B67" s="3"/>
      <c r="C67" s="3" t="s">
        <v>67</v>
      </c>
      <c r="D67" s="3"/>
      <c r="E67" s="3" t="s">
        <v>68</v>
      </c>
      <c r="F67" s="24" t="s">
        <v>31</v>
      </c>
      <c r="G67" s="24"/>
      <c r="H67" s="3">
        <v>36</v>
      </c>
      <c r="I67" s="3">
        <v>-62</v>
      </c>
      <c r="J67" s="3">
        <v>-2</v>
      </c>
      <c r="K67" s="3">
        <v>37</v>
      </c>
      <c r="L67" s="3"/>
    </row>
    <row r="68" spans="1:12" x14ac:dyDescent="0.25">
      <c r="A68" s="24"/>
      <c r="B68" s="3"/>
      <c r="C68" s="3" t="s">
        <v>54</v>
      </c>
      <c r="D68" s="3"/>
      <c r="E68" s="3" t="s">
        <v>62</v>
      </c>
      <c r="F68" s="24"/>
      <c r="G68" s="24"/>
      <c r="H68" s="3"/>
      <c r="I68" s="3"/>
      <c r="J68" s="3"/>
      <c r="K68" s="3"/>
      <c r="L68" s="3"/>
    </row>
    <row r="69" spans="1:12" x14ac:dyDescent="0.25">
      <c r="A69" s="24">
        <v>15</v>
      </c>
      <c r="B69" s="3"/>
      <c r="C69" s="3">
        <v>1998</v>
      </c>
      <c r="D69" s="3"/>
      <c r="E69" s="3">
        <v>1938</v>
      </c>
      <c r="F69" s="24" t="s">
        <v>26</v>
      </c>
      <c r="G69" s="24"/>
      <c r="H69" s="3">
        <v>1521</v>
      </c>
      <c r="I69" s="3">
        <v>6095</v>
      </c>
      <c r="J69" s="3">
        <v>1</v>
      </c>
      <c r="K69" s="3"/>
      <c r="L69" s="3" t="s">
        <v>27</v>
      </c>
    </row>
    <row r="70" spans="1:12" x14ac:dyDescent="0.25">
      <c r="A70" s="24"/>
      <c r="B70" s="3"/>
      <c r="C70" s="3">
        <v>1045</v>
      </c>
      <c r="D70" s="3"/>
      <c r="E70" s="3">
        <v>998</v>
      </c>
      <c r="F70" s="24" t="s">
        <v>28</v>
      </c>
      <c r="G70" s="24"/>
      <c r="H70" s="3">
        <v>1470</v>
      </c>
      <c r="I70" s="3">
        <v>5946</v>
      </c>
      <c r="J70" s="3">
        <v>-1</v>
      </c>
      <c r="K70" s="3"/>
      <c r="L70" s="3" t="s">
        <v>29</v>
      </c>
    </row>
    <row r="71" spans="1:12" x14ac:dyDescent="0.25">
      <c r="A71" s="24"/>
      <c r="B71" s="3"/>
      <c r="C71" s="3" t="s">
        <v>38</v>
      </c>
      <c r="D71" s="3"/>
      <c r="E71" s="3" t="s">
        <v>47</v>
      </c>
      <c r="F71" s="24" t="s">
        <v>31</v>
      </c>
      <c r="G71" s="24"/>
      <c r="H71" s="3">
        <v>51</v>
      </c>
      <c r="I71" s="3">
        <v>149</v>
      </c>
      <c r="J71" s="3">
        <v>2</v>
      </c>
      <c r="K71" s="3">
        <v>50</v>
      </c>
      <c r="L71" s="3"/>
    </row>
    <row r="72" spans="1:12" x14ac:dyDescent="0.25">
      <c r="A72" s="24"/>
      <c r="B72" s="3"/>
      <c r="C72" s="3" t="s">
        <v>69</v>
      </c>
      <c r="D72" s="3"/>
      <c r="E72" s="3" t="s">
        <v>32</v>
      </c>
      <c r="F72" s="24"/>
      <c r="G72" s="24"/>
      <c r="H72" s="3"/>
      <c r="I72" s="3"/>
      <c r="J72" s="3"/>
      <c r="K72" s="3"/>
      <c r="L72" s="3"/>
    </row>
    <row r="73" spans="1:12" x14ac:dyDescent="0.25">
      <c r="A73" s="24">
        <v>16</v>
      </c>
      <c r="B73" s="3"/>
      <c r="C73" s="3">
        <v>2011</v>
      </c>
      <c r="D73" s="3"/>
      <c r="E73" s="3">
        <v>1944</v>
      </c>
      <c r="F73" s="24" t="s">
        <v>26</v>
      </c>
      <c r="G73" s="24"/>
      <c r="H73" s="3">
        <v>1530</v>
      </c>
      <c r="I73" s="3">
        <v>6004</v>
      </c>
      <c r="J73" s="3">
        <v>1</v>
      </c>
      <c r="K73" s="3"/>
      <c r="L73" s="3" t="s">
        <v>29</v>
      </c>
    </row>
    <row r="74" spans="1:12" x14ac:dyDescent="0.25">
      <c r="A74" s="24"/>
      <c r="B74" s="3"/>
      <c r="C74" s="3">
        <v>1050</v>
      </c>
      <c r="D74" s="3"/>
      <c r="E74" s="3">
        <v>1009</v>
      </c>
      <c r="F74" s="24" t="s">
        <v>28</v>
      </c>
      <c r="G74" s="24"/>
      <c r="H74" s="3">
        <v>1479</v>
      </c>
      <c r="I74" s="3">
        <v>6053</v>
      </c>
      <c r="J74" s="3">
        <v>1</v>
      </c>
      <c r="K74" s="3"/>
      <c r="L74" s="3" t="s">
        <v>27</v>
      </c>
    </row>
    <row r="75" spans="1:12" x14ac:dyDescent="0.25">
      <c r="A75" s="24"/>
      <c r="B75" s="3"/>
      <c r="C75" s="3" t="s">
        <v>68</v>
      </c>
      <c r="D75" s="3"/>
      <c r="E75" s="3" t="s">
        <v>42</v>
      </c>
      <c r="F75" s="24" t="s">
        <v>31</v>
      </c>
      <c r="G75" s="24"/>
      <c r="H75" s="3">
        <v>51</v>
      </c>
      <c r="I75" s="3">
        <v>-49</v>
      </c>
      <c r="J75" s="3">
        <v>0</v>
      </c>
      <c r="K75" s="3">
        <v>51</v>
      </c>
      <c r="L75" s="3"/>
    </row>
    <row r="76" spans="1:12" x14ac:dyDescent="0.25">
      <c r="A76" s="24"/>
      <c r="B76" s="3"/>
      <c r="C76" s="3" t="s">
        <v>70</v>
      </c>
      <c r="D76" s="3"/>
      <c r="E76" s="3" t="s">
        <v>71</v>
      </c>
      <c r="F76" s="24"/>
      <c r="G76" s="24"/>
      <c r="H76" s="3"/>
      <c r="I76" s="3"/>
      <c r="J76" s="3"/>
      <c r="K76" s="3"/>
      <c r="L76" s="3"/>
    </row>
    <row r="77" spans="1:12" x14ac:dyDescent="0.25">
      <c r="A77" s="24">
        <v>17</v>
      </c>
      <c r="B77" s="3"/>
      <c r="C77" s="3">
        <v>1983</v>
      </c>
      <c r="D77" s="3"/>
      <c r="E77" s="3">
        <v>1963</v>
      </c>
      <c r="F77" s="24" t="s">
        <v>26</v>
      </c>
      <c r="G77" s="24"/>
      <c r="H77" s="3">
        <v>1516</v>
      </c>
      <c r="I77" s="3">
        <v>6091</v>
      </c>
      <c r="J77" s="3">
        <v>0</v>
      </c>
      <c r="K77" s="3"/>
      <c r="L77" s="3" t="s">
        <v>27</v>
      </c>
    </row>
    <row r="78" spans="1:12" x14ac:dyDescent="0.25">
      <c r="A78" s="24"/>
      <c r="B78" s="3"/>
      <c r="C78" s="3">
        <v>1047</v>
      </c>
      <c r="D78" s="3"/>
      <c r="E78" s="3">
        <v>1002</v>
      </c>
      <c r="F78" s="24" t="s">
        <v>28</v>
      </c>
      <c r="G78" s="24"/>
      <c r="H78" s="3">
        <v>1484</v>
      </c>
      <c r="I78" s="3">
        <v>5957</v>
      </c>
      <c r="J78" s="3">
        <v>2</v>
      </c>
      <c r="K78" s="3"/>
      <c r="L78" s="3" t="s">
        <v>29</v>
      </c>
    </row>
    <row r="79" spans="1:12" x14ac:dyDescent="0.25">
      <c r="A79" s="24"/>
      <c r="B79" s="3"/>
      <c r="C79" s="3" t="s">
        <v>39</v>
      </c>
      <c r="D79" s="3"/>
      <c r="E79" s="3" t="s">
        <v>68</v>
      </c>
      <c r="F79" s="24" t="s">
        <v>31</v>
      </c>
      <c r="G79" s="24"/>
      <c r="H79" s="3">
        <v>32</v>
      </c>
      <c r="I79" s="3">
        <v>134</v>
      </c>
      <c r="J79" s="3">
        <v>-2</v>
      </c>
      <c r="K79" s="3">
        <v>33</v>
      </c>
      <c r="L79" s="3"/>
    </row>
    <row r="80" spans="1:12" x14ac:dyDescent="0.25">
      <c r="A80" s="24"/>
      <c r="B80" s="3"/>
      <c r="C80" s="3" t="s">
        <v>72</v>
      </c>
      <c r="D80" s="3"/>
      <c r="E80" s="3" t="s">
        <v>73</v>
      </c>
      <c r="F80" s="24"/>
      <c r="G80" s="24"/>
      <c r="H80" s="3"/>
      <c r="I80" s="3"/>
      <c r="J80" s="3"/>
      <c r="K80" s="3"/>
      <c r="L80" s="3"/>
    </row>
    <row r="81" spans="1:12" x14ac:dyDescent="0.25">
      <c r="A81" s="24">
        <v>18</v>
      </c>
      <c r="B81" s="3"/>
      <c r="C81" s="3">
        <v>1941</v>
      </c>
      <c r="D81" s="3"/>
      <c r="E81" s="3">
        <v>1905</v>
      </c>
      <c r="F81" s="24" t="s">
        <v>26</v>
      </c>
      <c r="G81" s="24"/>
      <c r="H81" s="3">
        <v>1468</v>
      </c>
      <c r="I81" s="3">
        <v>5944</v>
      </c>
      <c r="J81" s="3">
        <v>-1</v>
      </c>
      <c r="K81" s="3"/>
      <c r="L81" s="3" t="s">
        <v>29</v>
      </c>
    </row>
    <row r="82" spans="1:12" x14ac:dyDescent="0.25">
      <c r="A82" s="24"/>
      <c r="B82" s="3"/>
      <c r="C82" s="3">
        <v>991</v>
      </c>
      <c r="D82" s="3"/>
      <c r="E82" s="3">
        <v>970</v>
      </c>
      <c r="F82" s="24" t="s">
        <v>28</v>
      </c>
      <c r="G82" s="24"/>
      <c r="H82" s="3">
        <v>1440</v>
      </c>
      <c r="I82" s="3">
        <v>6016</v>
      </c>
      <c r="J82" s="3">
        <v>-1</v>
      </c>
      <c r="K82" s="3"/>
      <c r="L82" s="3" t="s">
        <v>27</v>
      </c>
    </row>
    <row r="83" spans="1:12" x14ac:dyDescent="0.25">
      <c r="A83" s="24"/>
      <c r="B83" s="3"/>
      <c r="C83" s="3" t="s">
        <v>30</v>
      </c>
      <c r="D83" s="3"/>
      <c r="E83" s="3" t="s">
        <v>42</v>
      </c>
      <c r="F83" s="24" t="s">
        <v>31</v>
      </c>
      <c r="G83" s="24"/>
      <c r="H83" s="3">
        <v>28</v>
      </c>
      <c r="I83" s="3">
        <v>-72</v>
      </c>
      <c r="J83" s="3">
        <v>0</v>
      </c>
      <c r="K83" s="3">
        <v>28</v>
      </c>
      <c r="L83" s="3"/>
    </row>
    <row r="84" spans="1:12" x14ac:dyDescent="0.25">
      <c r="A84" s="24"/>
      <c r="B84" s="3"/>
      <c r="C84" s="3" t="s">
        <v>65</v>
      </c>
      <c r="D84" s="3"/>
      <c r="E84" s="3" t="s">
        <v>74</v>
      </c>
      <c r="F84" s="24"/>
      <c r="G84" s="24"/>
      <c r="H84" s="3"/>
      <c r="I84" s="3"/>
      <c r="J84" s="3"/>
      <c r="K84" s="3"/>
      <c r="L84" s="3"/>
    </row>
    <row r="85" spans="1:12" x14ac:dyDescent="0.25">
      <c r="A85" s="24">
        <v>19</v>
      </c>
      <c r="B85" s="3"/>
      <c r="C85" s="3">
        <v>1942</v>
      </c>
      <c r="D85" s="3"/>
      <c r="E85" s="3">
        <v>1921</v>
      </c>
      <c r="F85" s="24" t="s">
        <v>26</v>
      </c>
      <c r="G85" s="24"/>
      <c r="H85" s="3">
        <v>1482</v>
      </c>
      <c r="I85" s="3">
        <v>6058</v>
      </c>
      <c r="J85" s="3">
        <v>-1</v>
      </c>
      <c r="K85" s="3"/>
      <c r="L85" s="3" t="s">
        <v>27</v>
      </c>
    </row>
    <row r="86" spans="1:12" x14ac:dyDescent="0.25">
      <c r="A86" s="24"/>
      <c r="B86" s="3"/>
      <c r="C86" s="3">
        <v>1022</v>
      </c>
      <c r="D86" s="3"/>
      <c r="E86" s="3">
        <v>959</v>
      </c>
      <c r="F86" s="24" t="s">
        <v>28</v>
      </c>
      <c r="G86" s="24"/>
      <c r="H86" s="3">
        <v>1440</v>
      </c>
      <c r="I86" s="3">
        <v>5916</v>
      </c>
      <c r="J86" s="3">
        <v>-1</v>
      </c>
      <c r="K86" s="3"/>
      <c r="L86" s="3" t="s">
        <v>29</v>
      </c>
    </row>
    <row r="87" spans="1:12" x14ac:dyDescent="0.25">
      <c r="A87" s="24"/>
      <c r="B87" s="3"/>
      <c r="C87" s="3" t="s">
        <v>75</v>
      </c>
      <c r="D87" s="3"/>
      <c r="E87" s="3" t="s">
        <v>76</v>
      </c>
      <c r="F87" s="24" t="s">
        <v>31</v>
      </c>
      <c r="G87" s="24"/>
      <c r="H87" s="3">
        <v>42</v>
      </c>
      <c r="I87" s="3">
        <v>142</v>
      </c>
      <c r="J87" s="3">
        <v>0</v>
      </c>
      <c r="K87" s="3">
        <v>42</v>
      </c>
      <c r="L87" s="3"/>
    </row>
    <row r="88" spans="1:12" x14ac:dyDescent="0.25">
      <c r="A88" s="24"/>
      <c r="B88" s="3"/>
      <c r="C88" s="3" t="s">
        <v>77</v>
      </c>
      <c r="D88" s="3"/>
      <c r="E88" s="3" t="s">
        <v>78</v>
      </c>
      <c r="F88" s="24"/>
      <c r="G88" s="24"/>
      <c r="H88" s="3"/>
      <c r="I88" s="3"/>
      <c r="J88" s="3"/>
      <c r="K88" s="3"/>
      <c r="L88" s="3"/>
    </row>
    <row r="89" spans="1:12" x14ac:dyDescent="0.25">
      <c r="A89" s="24" t="s">
        <v>79</v>
      </c>
      <c r="B89" s="3"/>
      <c r="C89" s="22">
        <v>37931</v>
      </c>
      <c r="D89" s="3"/>
      <c r="E89" s="22">
        <v>37399</v>
      </c>
      <c r="F89" s="24" t="s">
        <v>26</v>
      </c>
      <c r="G89" s="24"/>
      <c r="H89" s="22">
        <v>28969</v>
      </c>
      <c r="I89" s="22">
        <v>114998</v>
      </c>
      <c r="J89" s="3">
        <v>-4</v>
      </c>
      <c r="K89" s="3"/>
      <c r="L89" s="3"/>
    </row>
    <row r="90" spans="1:12" x14ac:dyDescent="0.25">
      <c r="A90" s="24"/>
      <c r="B90" s="3"/>
      <c r="C90" s="22">
        <v>19982</v>
      </c>
      <c r="D90" s="3"/>
      <c r="E90" s="22">
        <v>19418</v>
      </c>
      <c r="F90" s="24" t="s">
        <v>28</v>
      </c>
      <c r="G90" s="24"/>
      <c r="H90" s="22">
        <v>28432</v>
      </c>
      <c r="I90" s="22">
        <v>114360</v>
      </c>
      <c r="J90" s="3">
        <v>-3</v>
      </c>
      <c r="K90" s="3"/>
      <c r="L90" s="3"/>
    </row>
    <row r="91" spans="1:12" x14ac:dyDescent="0.25">
      <c r="A91" s="24"/>
      <c r="B91" s="3"/>
      <c r="C91" s="20" t="s">
        <v>80</v>
      </c>
      <c r="D91" s="3"/>
      <c r="E91" s="20" t="s">
        <v>81</v>
      </c>
      <c r="F91" s="24" t="s">
        <v>31</v>
      </c>
      <c r="G91" s="24"/>
      <c r="H91" s="20">
        <v>537</v>
      </c>
      <c r="I91" s="20">
        <v>638</v>
      </c>
      <c r="J91" s="3">
        <v>-1</v>
      </c>
      <c r="K91" s="3">
        <v>537</v>
      </c>
      <c r="L91" s="3"/>
    </row>
    <row r="92" spans="1:12" x14ac:dyDescent="0.25">
      <c r="A92" s="24"/>
      <c r="B92" s="3"/>
      <c r="C92" s="3" t="s">
        <v>78</v>
      </c>
      <c r="D92" s="3"/>
      <c r="E92" s="3" t="s">
        <v>78</v>
      </c>
      <c r="F92" s="24"/>
      <c r="G92" s="24"/>
      <c r="H92" s="3"/>
      <c r="I92" s="3"/>
      <c r="J92" s="3"/>
      <c r="K92" s="3"/>
      <c r="L92" s="3"/>
    </row>
    <row r="94" spans="1:12" x14ac:dyDescent="0.25">
      <c r="C94" s="1">
        <f>+C13+C17+C21+C25+C29+C33+C37+C41+C45+C49+C53+C57+C61+C65+C69+C73+C77+C81+C85</f>
        <v>37931</v>
      </c>
      <c r="E94" s="1">
        <f>+E13+E17+E21+E25+E29+E33+E37+E41+E45+E49+E53+E57+E61+E65+E69+E73+E77+E81+E85</f>
        <v>37399</v>
      </c>
      <c r="H94" s="1">
        <f>+H13+H17+H21+H25+H29+H33+H37+H41+H45+H49+H53+H57+H61+H65+H69+H73+H77+H81+H85</f>
        <v>28969</v>
      </c>
      <c r="I94" s="1">
        <f>+I13+I17+I21+I25+I29+I33+I37+I41+I45+I49+I53+I57+I61+I65+I69+I73+I77+I81+I85</f>
        <v>114998</v>
      </c>
    </row>
    <row r="95" spans="1:12" x14ac:dyDescent="0.25">
      <c r="C95" s="1">
        <f>+C14+C18+C22+C26+C30+C34+C38+C42+C46+C50+C54+C58+C62+C66+C70+C74+C78+C82+C86</f>
        <v>19982</v>
      </c>
      <c r="E95" s="1">
        <f>+E14+E18+E22+E26+E30+E34+E38+E42+E46+E50+E54+E58+E62+E66+E70+E74+E78+E82+E86</f>
        <v>19418</v>
      </c>
      <c r="H95" s="1">
        <f>+H14+H18+H22+H26+H30+H34+H38+H42+H46+H50+H54+H58+H62+H66+H70+H74+H78+H82+H86</f>
        <v>28432</v>
      </c>
      <c r="I95" s="1">
        <f>+I14+I18+I22+I26+I30+I34+I38+I42+I46+I50+I54+I58+I62+I66+I70+I74+I78+I82+I86</f>
        <v>114360</v>
      </c>
    </row>
    <row r="96" spans="1:12" x14ac:dyDescent="0.25">
      <c r="B96" s="21" t="s">
        <v>98</v>
      </c>
      <c r="C96" s="1">
        <f>(C94-C95)/10</f>
        <v>1794.9</v>
      </c>
      <c r="E96" s="1">
        <f>(E94-E95)/10</f>
        <v>1798.1</v>
      </c>
      <c r="H96" s="1">
        <f>H94-H95</f>
        <v>537</v>
      </c>
      <c r="I96" s="1">
        <f>I94-I95</f>
        <v>638</v>
      </c>
      <c r="L96" s="1" t="s">
        <v>100</v>
      </c>
    </row>
    <row r="97" spans="2:5" x14ac:dyDescent="0.25">
      <c r="B97" s="21" t="s">
        <v>99</v>
      </c>
      <c r="C97" s="1">
        <f>C96-E96</f>
        <v>-3.1999999999998181</v>
      </c>
      <c r="E97" s="1">
        <f>C97</f>
        <v>-3.1999999999998181</v>
      </c>
    </row>
  </sheetData>
  <mergeCells count="109">
    <mergeCell ref="B12:C12"/>
    <mergeCell ref="D12:E12"/>
    <mergeCell ref="A13:A16"/>
    <mergeCell ref="F13:G13"/>
    <mergeCell ref="F14:G14"/>
    <mergeCell ref="F15:G15"/>
    <mergeCell ref="F16:G16"/>
    <mergeCell ref="F9:G9"/>
    <mergeCell ref="H9:I9"/>
    <mergeCell ref="F10:G10"/>
    <mergeCell ref="B11:C11"/>
    <mergeCell ref="D11:E11"/>
    <mergeCell ref="A17:A20"/>
    <mergeCell ref="F17:G17"/>
    <mergeCell ref="F18:G18"/>
    <mergeCell ref="F19:G19"/>
    <mergeCell ref="F20:G20"/>
    <mergeCell ref="A21:A24"/>
    <mergeCell ref="F21:G21"/>
    <mergeCell ref="F22:G22"/>
    <mergeCell ref="F23:G23"/>
    <mergeCell ref="F24:G24"/>
    <mergeCell ref="A25:A28"/>
    <mergeCell ref="F25:G25"/>
    <mergeCell ref="F26:G26"/>
    <mergeCell ref="F27:G27"/>
    <mergeCell ref="F28:G28"/>
    <mergeCell ref="A29:A32"/>
    <mergeCell ref="F29:G29"/>
    <mergeCell ref="F30:G30"/>
    <mergeCell ref="F31:G31"/>
    <mergeCell ref="F32:G32"/>
    <mergeCell ref="A33:A36"/>
    <mergeCell ref="F33:G33"/>
    <mergeCell ref="F34:G34"/>
    <mergeCell ref="F35:G35"/>
    <mergeCell ref="F36:G36"/>
    <mergeCell ref="A37:A40"/>
    <mergeCell ref="F37:G37"/>
    <mergeCell ref="F38:G38"/>
    <mergeCell ref="F39:G39"/>
    <mergeCell ref="F40:G40"/>
    <mergeCell ref="A41:A44"/>
    <mergeCell ref="F41:G41"/>
    <mergeCell ref="F42:G42"/>
    <mergeCell ref="F43:G43"/>
    <mergeCell ref="F44:G44"/>
    <mergeCell ref="A45:A48"/>
    <mergeCell ref="F45:G45"/>
    <mergeCell ref="F46:G46"/>
    <mergeCell ref="F47:G47"/>
    <mergeCell ref="F48:G48"/>
    <mergeCell ref="A49:A52"/>
    <mergeCell ref="F49:G49"/>
    <mergeCell ref="F50:G50"/>
    <mergeCell ref="F51:G51"/>
    <mergeCell ref="F52:G52"/>
    <mergeCell ref="A53:A56"/>
    <mergeCell ref="F53:G53"/>
    <mergeCell ref="F54:G54"/>
    <mergeCell ref="F55:G55"/>
    <mergeCell ref="F56:G56"/>
    <mergeCell ref="A57:A60"/>
    <mergeCell ref="F57:G57"/>
    <mergeCell ref="F58:G58"/>
    <mergeCell ref="F59:G59"/>
    <mergeCell ref="F60:G60"/>
    <mergeCell ref="A61:A64"/>
    <mergeCell ref="F61:G61"/>
    <mergeCell ref="F62:G62"/>
    <mergeCell ref="F63:G63"/>
    <mergeCell ref="F64:G64"/>
    <mergeCell ref="F78:G78"/>
    <mergeCell ref="F79:G79"/>
    <mergeCell ref="F80:G80"/>
    <mergeCell ref="A65:A68"/>
    <mergeCell ref="F65:G65"/>
    <mergeCell ref="F66:G66"/>
    <mergeCell ref="F67:G67"/>
    <mergeCell ref="F68:G68"/>
    <mergeCell ref="A69:A72"/>
    <mergeCell ref="F69:G69"/>
    <mergeCell ref="F70:G70"/>
    <mergeCell ref="F71:G71"/>
    <mergeCell ref="F72:G72"/>
    <mergeCell ref="A1:L1"/>
    <mergeCell ref="A89:A92"/>
    <mergeCell ref="F89:G89"/>
    <mergeCell ref="F90:G90"/>
    <mergeCell ref="F91:G91"/>
    <mergeCell ref="F92:G92"/>
    <mergeCell ref="F11:G11"/>
    <mergeCell ref="A81:A84"/>
    <mergeCell ref="F81:G81"/>
    <mergeCell ref="F82:G82"/>
    <mergeCell ref="F83:G83"/>
    <mergeCell ref="F84:G84"/>
    <mergeCell ref="A85:A88"/>
    <mergeCell ref="F85:G85"/>
    <mergeCell ref="F86:G86"/>
    <mergeCell ref="F87:G87"/>
    <mergeCell ref="F88:G88"/>
    <mergeCell ref="A73:A76"/>
    <mergeCell ref="F73:G73"/>
    <mergeCell ref="F74:G74"/>
    <mergeCell ref="F75:G75"/>
    <mergeCell ref="F76:G76"/>
    <mergeCell ref="A77:A80"/>
    <mergeCell ref="F77:G77"/>
  </mergeCells>
  <pageMargins left="0.70866141732283472" right="0.51181102362204722" top="0.55118110236220474" bottom="0.55118110236220474" header="0.31496062992125984" footer="0.31496062992125984"/>
  <pageSetup paperSize="9" scale="8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2026-06-17T09:31:29Z</cp:lastPrinted>
  <dcterms:created xsi:type="dcterms:W3CDTF">2026-06-17T09:22:21Z</dcterms:created>
  <dcterms:modified xsi:type="dcterms:W3CDTF">2026-06-18T03:01:05Z</dcterms:modified>
</cp:coreProperties>
</file>