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<sst xmlns="http://schemas.openxmlformats.org/spreadsheetml/2006/main" count="226" uniqueCount="49">
  <si>
    <t>SỔ ĐO THỦY CHUẨN HẠNG 4</t>
  </si>
  <si>
    <t>Đo từ:</t>
  </si>
  <si>
    <t>(tên mốc mua)</t>
  </si>
  <si>
    <t>Đến:</t>
  </si>
  <si>
    <t>(mốc GPSIV- gần nhất)</t>
  </si>
  <si>
    <t>Bắt đầu lúc:</t>
  </si>
  <si>
    <t/>
  </si>
  <si>
    <t>Ngày đo:</t>
  </si>
  <si>
    <t>(theo nhật ký)</t>
  </si>
  <si>
    <t>Kết thúc lúc:</t>
  </si>
  <si>
    <t>Người đo:</t>
  </si>
  <si>
    <t>Thời tiết:</t>
  </si>
  <si>
    <t>Người ghi:</t>
  </si>
  <si>
    <t>Người kiểm tra:</t>
  </si>
  <si>
    <t>Số</t>
  </si>
  <si>
    <t>Mia</t>
  </si>
  <si>
    <t>Chỉ trên</t>
  </si>
  <si>
    <t>Ký</t>
  </si>
  <si>
    <t>Số đọc trên mia</t>
  </si>
  <si>
    <t>K</t>
  </si>
  <si>
    <t>Chênh</t>
  </si>
  <si>
    <t>trạm</t>
  </si>
  <si>
    <t>sau</t>
  </si>
  <si>
    <t>Chỉ dưới</t>
  </si>
  <si>
    <t>trước</t>
  </si>
  <si>
    <t>hiệu</t>
  </si>
  <si>
    <t>Mặt</t>
  </si>
  <si>
    <t>+ đen</t>
  </si>
  <si>
    <t>cao</t>
  </si>
  <si>
    <t>Ghi</t>
  </si>
  <si>
    <t>đo</t>
  </si>
  <si>
    <t>K/C sau</t>
  </si>
  <si>
    <t>K/C trước</t>
  </si>
  <si>
    <t>mia</t>
  </si>
  <si>
    <t>đen</t>
  </si>
  <si>
    <t>đỏ</t>
  </si>
  <si>
    <t>- đỏ</t>
  </si>
  <si>
    <t>trung</t>
  </si>
  <si>
    <t>chú</t>
  </si>
  <si>
    <t>ΔS</t>
  </si>
  <si>
    <t>ΣΔS</t>
  </si>
  <si>
    <t>bình</t>
  </si>
  <si>
    <t>Hằng số mia K</t>
  </si>
  <si>
    <t>S</t>
  </si>
  <si>
    <t>K1</t>
  </si>
  <si>
    <t>T</t>
  </si>
  <si>
    <t>K2</t>
  </si>
  <si>
    <t>S-T</t>
  </si>
  <si>
    <t>Tổng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</si>
</sst>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2"/>
  <sheetFormatPr defaultRowHeight="15" outlineLevelRow="0" outlineLevelCol="0" x14ac:dyDescent="55"/>
  <cols>
    <col min="1" max="1" width="8" customWidth="1"/>
    <col min="3" max="3" width="12" customWidth="1"/>
    <col min="5" max="5" width="12" customWidth="1"/>
    <col min="8" max="9" width="10" customWidth="1"/>
    <col min="12" max="12" width="18" customWidth="1"/>
  </cols>
  <sheetData>
    <row r="1" spans="1:1" x14ac:dyDescent="0.25">
      <c r="A1" t="s">
        <v>0</v>
      </c>
    </row>
    <row r="3" spans="1:10" x14ac:dyDescent="0.25">
      <c r="A3" t="s">
        <v>1</v>
      </c>
      <c r="C3" t="s">
        <v>2</v>
      </c>
      <c r="H3" t="s">
        <v>3</v>
      </c>
      <c r="J3" t="s">
        <v>4</v>
      </c>
    </row>
    <row r="4" spans="1:10" x14ac:dyDescent="0.25">
      <c r="A4" t="s">
        <v>5</v>
      </c>
      <c r="C4" t="s">
        <v>6</v>
      </c>
      <c r="H4" t="s">
        <v>7</v>
      </c>
      <c r="J4" t="s">
        <v>8</v>
      </c>
    </row>
    <row r="5" spans="1:10" x14ac:dyDescent="0.25">
      <c r="A5" t="s">
        <v>9</v>
      </c>
      <c r="C5" t="s">
        <v>6</v>
      </c>
      <c r="H5" t="s">
        <v>10</v>
      </c>
      <c r="J5" t="s">
        <v>6</v>
      </c>
    </row>
    <row r="6" spans="1:10" x14ac:dyDescent="0.25">
      <c r="A6" t="s">
        <v>11</v>
      </c>
      <c r="C6" t="s">
        <v>6</v>
      </c>
      <c r="H6" t="s">
        <v>12</v>
      </c>
      <c r="J6" t="s">
        <v>6</v>
      </c>
    </row>
    <row r="7" spans="8:10" x14ac:dyDescent="0.25">
      <c r="H7" t="s">
        <v>13</v>
      </c>
      <c r="J7" t="s">
        <v>6</v>
      </c>
    </row>
    <row r="9" spans="1:11" x14ac:dyDescent="0.25">
      <c r="A9" t="s">
        <v>14</v>
      </c>
      <c r="B9" t="s">
        <v>15</v>
      </c>
      <c r="C9" t="s">
        <v>16</v>
      </c>
      <c r="D9" t="s">
        <v>15</v>
      </c>
      <c r="E9" t="s">
        <v>16</v>
      </c>
      <c r="F9" t="s">
        <v>17</v>
      </c>
      <c r="H9" t="s">
        <v>18</v>
      </c>
      <c r="J9" t="s">
        <v>19</v>
      </c>
      <c r="K9" t="s">
        <v>20</v>
      </c>
    </row>
    <row r="10" spans="1:12" x14ac:dyDescent="0.25">
      <c r="A10" t="s">
        <v>21</v>
      </c>
      <c r="B10" t="s">
        <v>22</v>
      </c>
      <c r="C10" t="s">
        <v>23</v>
      </c>
      <c r="D10" t="s">
        <v>24</v>
      </c>
      <c r="E10" t="s">
        <v>23</v>
      </c>
      <c r="F10" t="s">
        <v>25</v>
      </c>
      <c r="H10" t="s">
        <v>26</v>
      </c>
      <c r="I10" t="s">
        <v>26</v>
      </c>
      <c r="J10" t="s">
        <v>27</v>
      </c>
      <c r="K10" t="s">
        <v>28</v>
      </c>
      <c r="L10" t="s">
        <v>29</v>
      </c>
    </row>
    <row r="11" spans="1:12" x14ac:dyDescent="0.25">
      <c r="A11" t="s">
        <v>30</v>
      </c>
      <c r="B11" t="s">
        <v>31</v>
      </c>
      <c r="D11" t="s">
        <v>32</v>
      </c>
      <c r="F11" t="s">
        <v>33</v>
      </c>
      <c r="H11" t="s">
        <v>34</v>
      </c>
      <c r="I11" t="s">
        <v>35</v>
      </c>
      <c r="J11" t="s">
        <v>36</v>
      </c>
      <c r="K11" t="s">
        <v>37</v>
      </c>
      <c r="L11" t="s">
        <v>38</v>
      </c>
    </row>
    <row r="12" spans="2:14" x14ac:dyDescent="0.25">
      <c r="B12" t="s">
        <v>39</v>
      </c>
      <c r="D12" t="s">
        <v>40</v>
      </c>
      <c r="K12" t="s">
        <v>41</v>
      </c>
      <c r="N12" t="s">
        <v>42</v>
      </c>
    </row>
    <row r="13" spans="1:14" x14ac:dyDescent="0.25">
      <c r="A13">
        <v>1</v>
      </c>
      <c r="C13" s="1">
        <v>2259</v>
      </c>
      <c r="E13" s="1">
        <v>2266</v>
      </c>
      <c r="F13" t="s">
        <v>43</v>
      </c>
      <c r="H13" s="1">
        <v>1995</v>
      </c>
      <c r="I13" s="1">
        <v>6571</v>
      </c>
      <c r="J13">
        <v>-1</v>
      </c>
      <c r="L13" t="s">
        <v>44</v>
      </c>
      <c r="N13">
        <v>4575</v>
      </c>
    </row>
    <row r="14" spans="3:14" x14ac:dyDescent="0.25">
      <c r="C14" s="1">
        <v>1731</v>
      </c>
      <c r="E14" s="1">
        <v>1688</v>
      </c>
      <c r="F14" t="s">
        <v>45</v>
      </c>
      <c r="H14" s="1">
        <v>1977</v>
      </c>
      <c r="I14" s="1">
        <v>6451</v>
      </c>
      <c r="J14">
        <v>1</v>
      </c>
      <c r="L14" t="s">
        <v>46</v>
      </c>
      <c r="N14">
        <v>4475</v>
      </c>
    </row>
    <row r="15" spans="3:14" x14ac:dyDescent="0.25">
      <c r="C15">
        <v>52.8</v>
      </c>
      <c r="E15">
        <v>57.8</v>
      </c>
      <c r="F15" t="s">
        <v>47</v>
      </c>
      <c r="H15">
        <v>18</v>
      </c>
      <c r="I15">
        <v>120</v>
      </c>
      <c r="J15">
        <v>-2</v>
      </c>
      <c r="K15">
        <v>20</v>
      </c>
      <c r="N15">
        <v>100</v>
      </c>
    </row>
    <row r="16" spans="3:5" x14ac:dyDescent="0.25">
      <c r="C16">
        <v>-5</v>
      </c>
      <c r="E16">
        <v>-5</v>
      </c>
    </row>
    <row r="17" spans="1:14" x14ac:dyDescent="0.25">
      <c r="A17">
        <v>2</v>
      </c>
      <c r="C17" s="1">
        <v>2271</v>
      </c>
      <c r="E17" s="1">
        <v>2279</v>
      </c>
      <c r="F17" t="s">
        <v>43</v>
      </c>
      <c r="H17" s="1">
        <v>2007</v>
      </c>
      <c r="I17" s="1">
        <v>6484</v>
      </c>
      <c r="J17">
        <v>-2</v>
      </c>
      <c r="L17" t="s">
        <v>46</v>
      </c>
      <c r="N17">
        <v>4575</v>
      </c>
    </row>
    <row r="18" spans="3:14" x14ac:dyDescent="0.25">
      <c r="C18" s="1">
        <v>1743</v>
      </c>
      <c r="E18" s="1">
        <v>1711</v>
      </c>
      <c r="F18" t="s">
        <v>45</v>
      </c>
      <c r="H18" s="1">
        <v>1995</v>
      </c>
      <c r="I18" s="1">
        <v>6570</v>
      </c>
      <c r="J18">
        <v>0</v>
      </c>
      <c r="L18" t="s">
        <v>44</v>
      </c>
      <c r="N18">
        <v>4475</v>
      </c>
    </row>
    <row r="19" spans="3:14" x14ac:dyDescent="0.25">
      <c r="C19">
        <v>52.8</v>
      </c>
      <c r="E19">
        <v>56.8</v>
      </c>
      <c r="F19" t="s">
        <v>47</v>
      </c>
      <c r="H19">
        <v>12</v>
      </c>
      <c r="I19">
        <v>-86</v>
      </c>
      <c r="J19">
        <v>-2</v>
      </c>
      <c r="K19">
        <v>14</v>
      </c>
      <c r="N19">
        <v>100</v>
      </c>
    </row>
    <row r="20" spans="3:5" x14ac:dyDescent="0.25">
      <c r="C20">
        <v>-4</v>
      </c>
      <c r="E20">
        <f>E16+C20</f>
      </c>
    </row>
    <row r="21" spans="1:14" x14ac:dyDescent="0.25">
      <c r="A21">
        <v>3</v>
      </c>
      <c r="C21" s="1">
        <v>2291</v>
      </c>
      <c r="E21" s="1">
        <v>2276</v>
      </c>
      <c r="F21" t="s">
        <v>43</v>
      </c>
      <c r="H21" s="1">
        <v>2027</v>
      </c>
      <c r="I21" s="1">
        <v>6602</v>
      </c>
      <c r="J21">
        <v>0</v>
      </c>
      <c r="L21" t="s">
        <v>44</v>
      </c>
      <c r="N21">
        <v>4575</v>
      </c>
    </row>
    <row r="22" spans="3:14" x14ac:dyDescent="0.25">
      <c r="C22" s="1">
        <v>1763</v>
      </c>
      <c r="E22" s="1">
        <v>1750</v>
      </c>
      <c r="F22" t="s">
        <v>45</v>
      </c>
      <c r="H22" s="1">
        <v>2013</v>
      </c>
      <c r="I22" s="1">
        <v>6486</v>
      </c>
      <c r="J22">
        <v>2</v>
      </c>
      <c r="L22" t="s">
        <v>46</v>
      </c>
      <c r="N22">
        <v>4475</v>
      </c>
    </row>
    <row r="23" spans="3:14" x14ac:dyDescent="0.25">
      <c r="C23">
        <v>52.8</v>
      </c>
      <c r="E23">
        <v>52.6</v>
      </c>
      <c r="F23" t="s">
        <v>47</v>
      </c>
      <c r="H23">
        <v>14</v>
      </c>
      <c r="I23">
        <v>116</v>
      </c>
      <c r="J23">
        <v>-2</v>
      </c>
      <c r="K23">
        <v>16</v>
      </c>
      <c r="N23">
        <v>100</v>
      </c>
    </row>
    <row r="24" spans="3:5" x14ac:dyDescent="0.25">
      <c r="C24">
        <v>0.2</v>
      </c>
      <c r="E24">
        <f>E20+C24</f>
      </c>
    </row>
    <row r="25" spans="1:14" x14ac:dyDescent="0.25">
      <c r="A25">
        <v>4</v>
      </c>
      <c r="C25" s="1">
        <v>2303</v>
      </c>
      <c r="E25" s="1">
        <v>2286</v>
      </c>
      <c r="F25" t="s">
        <v>43</v>
      </c>
      <c r="H25" s="1">
        <v>2039</v>
      </c>
      <c r="I25" s="1">
        <v>6514</v>
      </c>
      <c r="J25">
        <v>0</v>
      </c>
      <c r="L25" t="s">
        <v>46</v>
      </c>
      <c r="N25">
        <v>4575</v>
      </c>
    </row>
    <row r="26" spans="3:14" x14ac:dyDescent="0.25">
      <c r="C26" s="1">
        <v>1775</v>
      </c>
      <c r="E26" s="1">
        <v>1772</v>
      </c>
      <c r="F26" t="s">
        <v>45</v>
      </c>
      <c r="H26" s="1">
        <v>2029</v>
      </c>
      <c r="I26" s="1">
        <v>6602</v>
      </c>
      <c r="J26">
        <v>2</v>
      </c>
      <c r="L26" t="s">
        <v>44</v>
      </c>
      <c r="N26">
        <v>4475</v>
      </c>
    </row>
    <row r="27" spans="3:14" x14ac:dyDescent="0.25">
      <c r="C27">
        <v>52.8</v>
      </c>
      <c r="E27">
        <v>51.4</v>
      </c>
      <c r="F27" t="s">
        <v>47</v>
      </c>
      <c r="H27">
        <v>10</v>
      </c>
      <c r="I27">
        <v>-88</v>
      </c>
      <c r="J27">
        <v>-2</v>
      </c>
      <c r="K27">
        <v>12</v>
      </c>
      <c r="N27">
        <v>100</v>
      </c>
    </row>
    <row r="28" spans="3:5" x14ac:dyDescent="0.25">
      <c r="C28">
        <v>1.4</v>
      </c>
      <c r="E28">
        <f>E24+C28</f>
      </c>
    </row>
    <row r="29" spans="1:14" x14ac:dyDescent="0.25">
      <c r="A29">
        <v>5</v>
      </c>
      <c r="C29" s="1">
        <v>2323</v>
      </c>
      <c r="E29" s="1">
        <v>2293</v>
      </c>
      <c r="F29" t="s">
        <v>43</v>
      </c>
      <c r="H29" s="1">
        <v>2059</v>
      </c>
      <c r="I29" s="1">
        <v>6635</v>
      </c>
      <c r="J29">
        <v>-1</v>
      </c>
      <c r="L29" t="s">
        <v>44</v>
      </c>
      <c r="N29">
        <v>4575</v>
      </c>
    </row>
    <row r="30" spans="3:14" x14ac:dyDescent="0.25">
      <c r="C30" s="1">
        <v>1795</v>
      </c>
      <c r="E30" s="1">
        <v>1790</v>
      </c>
      <c r="F30" t="s">
        <v>45</v>
      </c>
      <c r="H30" s="1">
        <v>2041</v>
      </c>
      <c r="I30" s="1">
        <v>6515</v>
      </c>
      <c r="J30">
        <v>1</v>
      </c>
      <c r="L30" t="s">
        <v>46</v>
      </c>
      <c r="N30">
        <v>4475</v>
      </c>
    </row>
    <row r="31" spans="3:14" x14ac:dyDescent="0.25">
      <c r="C31">
        <v>52.8</v>
      </c>
      <c r="E31">
        <v>50.3</v>
      </c>
      <c r="F31" t="s">
        <v>47</v>
      </c>
      <c r="H31">
        <v>18</v>
      </c>
      <c r="I31">
        <v>120</v>
      </c>
      <c r="J31">
        <v>-2</v>
      </c>
      <c r="K31">
        <v>20</v>
      </c>
      <c r="N31">
        <v>100</v>
      </c>
    </row>
    <row r="32" spans="3:5" x14ac:dyDescent="0.25">
      <c r="C32">
        <v>2.5</v>
      </c>
      <c r="E32">
        <f>E28+C32</f>
      </c>
    </row>
    <row r="33" spans="1:14" x14ac:dyDescent="0.25">
      <c r="A33">
        <v>6</v>
      </c>
      <c r="C33" s="1">
        <v>2344</v>
      </c>
      <c r="E33" s="1">
        <v>2320</v>
      </c>
      <c r="F33" t="s">
        <v>43</v>
      </c>
      <c r="H33" s="1">
        <v>2080</v>
      </c>
      <c r="I33" s="1">
        <v>6556</v>
      </c>
      <c r="J33">
        <v>-1</v>
      </c>
      <c r="L33" t="s">
        <v>46</v>
      </c>
      <c r="N33">
        <v>4575</v>
      </c>
    </row>
    <row r="34" spans="3:14" x14ac:dyDescent="0.25">
      <c r="C34" s="1">
        <v>1816</v>
      </c>
      <c r="E34" s="1">
        <v>1811</v>
      </c>
      <c r="F34" t="s">
        <v>45</v>
      </c>
      <c r="H34" s="1">
        <v>2065</v>
      </c>
      <c r="I34" s="1">
        <v>6639</v>
      </c>
      <c r="J34">
        <v>1</v>
      </c>
      <c r="L34" t="s">
        <v>44</v>
      </c>
      <c r="N34">
        <v>4475</v>
      </c>
    </row>
    <row r="35" spans="3:14" x14ac:dyDescent="0.25">
      <c r="C35">
        <v>52.8</v>
      </c>
      <c r="E35">
        <v>50.9</v>
      </c>
      <c r="F35" t="s">
        <v>47</v>
      </c>
      <c r="H35">
        <v>15</v>
      </c>
      <c r="I35">
        <v>-83</v>
      </c>
      <c r="J35">
        <v>-2</v>
      </c>
      <c r="K35">
        <v>17</v>
      </c>
      <c r="N35">
        <v>100</v>
      </c>
    </row>
    <row r="36" spans="3:5" x14ac:dyDescent="0.25">
      <c r="C36">
        <v>1.9</v>
      </c>
      <c r="E36">
        <f>E32+C36</f>
      </c>
    </row>
    <row r="37" spans="1:14" x14ac:dyDescent="0.25">
      <c r="A37">
        <v>7</v>
      </c>
      <c r="C37" s="1">
        <v>2381</v>
      </c>
      <c r="E37" s="1">
        <v>2365</v>
      </c>
      <c r="F37" t="s">
        <v>43</v>
      </c>
      <c r="H37" s="1">
        <v>2117</v>
      </c>
      <c r="I37" s="1">
        <v>6692</v>
      </c>
      <c r="J37">
        <v>0</v>
      </c>
      <c r="L37" t="s">
        <v>44</v>
      </c>
      <c r="N37">
        <v>4575</v>
      </c>
    </row>
    <row r="38" spans="3:14" x14ac:dyDescent="0.25">
      <c r="C38" s="1">
        <v>1853</v>
      </c>
      <c r="E38" s="1">
        <v>1814</v>
      </c>
      <c r="F38" t="s">
        <v>45</v>
      </c>
      <c r="H38" s="1">
        <v>2089</v>
      </c>
      <c r="I38" s="1">
        <v>6562</v>
      </c>
      <c r="J38">
        <v>2</v>
      </c>
      <c r="L38" t="s">
        <v>46</v>
      </c>
      <c r="N38">
        <v>4475</v>
      </c>
    </row>
    <row r="39" spans="3:14" x14ac:dyDescent="0.25">
      <c r="C39">
        <v>52.8</v>
      </c>
      <c r="E39">
        <v>55.1</v>
      </c>
      <c r="F39" t="s">
        <v>47</v>
      </c>
      <c r="H39">
        <v>28</v>
      </c>
      <c r="I39">
        <v>130</v>
      </c>
      <c r="J39">
        <v>-2</v>
      </c>
      <c r="K39">
        <v>30</v>
      </c>
      <c r="N39">
        <v>100</v>
      </c>
    </row>
    <row r="40" spans="3:5" x14ac:dyDescent="0.25">
      <c r="C40">
        <v>-2.3</v>
      </c>
      <c r="E40">
        <f>E36+C40</f>
      </c>
    </row>
    <row r="41" spans="1:14" x14ac:dyDescent="0.25">
      <c r="A41">
        <v>8</v>
      </c>
      <c r="C41" s="1">
        <v>2383</v>
      </c>
      <c r="E41" s="1">
        <v>2345</v>
      </c>
      <c r="F41" t="s">
        <v>43</v>
      </c>
      <c r="H41" s="1">
        <v>2119</v>
      </c>
      <c r="I41" s="1">
        <v>6595</v>
      </c>
      <c r="J41">
        <v>-1</v>
      </c>
      <c r="L41" t="s">
        <v>46</v>
      </c>
      <c r="N41">
        <v>4575</v>
      </c>
    </row>
    <row r="42" spans="3:14" x14ac:dyDescent="0.25">
      <c r="C42" s="1">
        <v>1855</v>
      </c>
      <c r="E42" s="1">
        <v>1850</v>
      </c>
      <c r="F42" t="s">
        <v>45</v>
      </c>
      <c r="H42" s="1">
        <v>2097</v>
      </c>
      <c r="I42" s="1">
        <v>6671</v>
      </c>
      <c r="J42">
        <v>1</v>
      </c>
      <c r="L42" t="s">
        <v>44</v>
      </c>
      <c r="N42">
        <v>4475</v>
      </c>
    </row>
    <row r="43" spans="3:14" x14ac:dyDescent="0.25">
      <c r="C43">
        <v>52.8</v>
      </c>
      <c r="E43">
        <v>49.5</v>
      </c>
      <c r="F43" t="s">
        <v>47</v>
      </c>
      <c r="H43">
        <v>22</v>
      </c>
      <c r="I43">
        <v>-76</v>
      </c>
      <c r="J43">
        <v>-2</v>
      </c>
      <c r="K43">
        <v>24</v>
      </c>
      <c r="N43">
        <v>100</v>
      </c>
    </row>
    <row r="44" spans="3:5" x14ac:dyDescent="0.25">
      <c r="C44">
        <v>3.3</v>
      </c>
      <c r="E44">
        <f>E40+C44</f>
      </c>
    </row>
    <row r="45" spans="1:14" x14ac:dyDescent="0.25">
      <c r="A45">
        <v>9</v>
      </c>
      <c r="C45" s="1">
        <v>2387</v>
      </c>
      <c r="E45" s="1">
        <v>2365</v>
      </c>
      <c r="F45" t="s">
        <v>43</v>
      </c>
      <c r="H45" s="1">
        <v>2123</v>
      </c>
      <c r="I45" s="1">
        <v>6700</v>
      </c>
      <c r="J45">
        <v>-2</v>
      </c>
      <c r="L45" t="s">
        <v>44</v>
      </c>
      <c r="N45">
        <v>4575</v>
      </c>
    </row>
    <row r="46" spans="3:14" x14ac:dyDescent="0.25">
      <c r="C46" s="1">
        <v>1859</v>
      </c>
      <c r="E46" s="1">
        <v>1865</v>
      </c>
      <c r="F46" t="s">
        <v>45</v>
      </c>
      <c r="H46" s="1">
        <v>2115</v>
      </c>
      <c r="I46" s="1">
        <v>6590</v>
      </c>
      <c r="J46">
        <v>0</v>
      </c>
      <c r="L46" t="s">
        <v>46</v>
      </c>
      <c r="N46">
        <v>4475</v>
      </c>
    </row>
    <row r="47" spans="3:14" x14ac:dyDescent="0.25">
      <c r="C47">
        <v>52.8</v>
      </c>
      <c r="E47">
        <v>50</v>
      </c>
      <c r="F47" t="s">
        <v>47</v>
      </c>
      <c r="H47">
        <v>8</v>
      </c>
      <c r="I47">
        <v>110</v>
      </c>
      <c r="J47">
        <v>-2</v>
      </c>
      <c r="K47">
        <v>10</v>
      </c>
      <c r="N47">
        <v>100</v>
      </c>
    </row>
    <row r="48" spans="3:5" x14ac:dyDescent="0.25">
      <c r="C48">
        <v>2.8</v>
      </c>
      <c r="E48">
        <f>E44+C48</f>
      </c>
    </row>
    <row r="49" spans="1:14" x14ac:dyDescent="0.25">
      <c r="A49">
        <v>10</v>
      </c>
      <c r="C49" s="1">
        <v>2409</v>
      </c>
      <c r="E49" s="1">
        <v>2413</v>
      </c>
      <c r="F49" t="s">
        <v>43</v>
      </c>
      <c r="H49" s="1">
        <v>2145</v>
      </c>
      <c r="I49" s="1">
        <v>6620</v>
      </c>
      <c r="J49">
        <v>0</v>
      </c>
      <c r="L49" t="s">
        <v>46</v>
      </c>
      <c r="N49">
        <v>4575</v>
      </c>
    </row>
    <row r="50" spans="3:14" x14ac:dyDescent="0.25">
      <c r="C50" s="1">
        <v>1881</v>
      </c>
      <c r="E50" s="1">
        <v>1863</v>
      </c>
      <c r="F50" t="s">
        <v>45</v>
      </c>
      <c r="H50" s="1">
        <v>2138</v>
      </c>
      <c r="I50" s="1">
        <v>6711</v>
      </c>
      <c r="J50">
        <v>2</v>
      </c>
      <c r="L50" t="s">
        <v>44</v>
      </c>
      <c r="N50">
        <v>4475</v>
      </c>
    </row>
    <row r="51" spans="3:14" x14ac:dyDescent="0.25">
      <c r="C51">
        <v>52.8</v>
      </c>
      <c r="E51">
        <v>55</v>
      </c>
      <c r="F51" t="s">
        <v>47</v>
      </c>
      <c r="H51">
        <v>7</v>
      </c>
      <c r="I51">
        <v>-91</v>
      </c>
      <c r="J51">
        <v>-2</v>
      </c>
      <c r="K51">
        <v>9</v>
      </c>
      <c r="N51">
        <v>100</v>
      </c>
    </row>
    <row r="52" spans="3:5" x14ac:dyDescent="0.25">
      <c r="C52">
        <v>-2.2</v>
      </c>
      <c r="E52">
        <f>E48+C52</f>
      </c>
    </row>
    <row r="53" spans="1:14" x14ac:dyDescent="0.25">
      <c r="A53">
        <v>11</v>
      </c>
      <c r="C53" s="1">
        <v>2443</v>
      </c>
      <c r="E53" s="1">
        <v>2432</v>
      </c>
      <c r="F53" t="s">
        <v>43</v>
      </c>
      <c r="H53" s="1">
        <v>2179</v>
      </c>
      <c r="I53" s="1">
        <v>6755</v>
      </c>
      <c r="J53">
        <v>-1</v>
      </c>
      <c r="L53" t="s">
        <v>44</v>
      </c>
      <c r="N53">
        <v>4575</v>
      </c>
    </row>
    <row r="54" spans="3:14" x14ac:dyDescent="0.25">
      <c r="C54" s="1">
        <v>1915</v>
      </c>
      <c r="E54" s="1">
        <v>1878</v>
      </c>
      <c r="F54" t="s">
        <v>45</v>
      </c>
      <c r="H54" s="1">
        <v>2155</v>
      </c>
      <c r="I54" s="1">
        <v>6629</v>
      </c>
      <c r="J54">
        <v>1</v>
      </c>
      <c r="L54" t="s">
        <v>46</v>
      </c>
      <c r="N54">
        <v>4475</v>
      </c>
    </row>
    <row r="55" spans="3:14" x14ac:dyDescent="0.25">
      <c r="C55">
        <v>52.8</v>
      </c>
      <c r="E55">
        <v>55.4</v>
      </c>
      <c r="F55" t="s">
        <v>47</v>
      </c>
      <c r="H55">
        <v>24</v>
      </c>
      <c r="I55">
        <v>126</v>
      </c>
      <c r="J55">
        <v>-2</v>
      </c>
      <c r="K55">
        <v>26</v>
      </c>
      <c r="N55">
        <v>100</v>
      </c>
    </row>
    <row r="56" spans="3:5" x14ac:dyDescent="0.25">
      <c r="C56">
        <v>-2.6</v>
      </c>
      <c r="E56">
        <f>E52+C56</f>
      </c>
    </row>
    <row r="57" spans="1:14" x14ac:dyDescent="0.25">
      <c r="A57">
        <v>12</v>
      </c>
      <c r="C57" s="1">
        <v>2437</v>
      </c>
      <c r="E57" s="1">
        <v>2419</v>
      </c>
      <c r="F57" t="s">
        <v>43</v>
      </c>
      <c r="H57" s="1">
        <v>2173</v>
      </c>
      <c r="I57" s="1">
        <v>6648</v>
      </c>
      <c r="J57">
        <v>0</v>
      </c>
      <c r="L57" t="s">
        <v>46</v>
      </c>
      <c r="N57">
        <v>4575</v>
      </c>
    </row>
    <row r="58" spans="3:14" x14ac:dyDescent="0.25">
      <c r="C58" s="1">
        <v>1909</v>
      </c>
      <c r="E58" s="1">
        <v>1910</v>
      </c>
      <c r="F58" t="s">
        <v>45</v>
      </c>
      <c r="H58" s="1">
        <v>2164</v>
      </c>
      <c r="I58" s="1">
        <v>6737</v>
      </c>
      <c r="J58">
        <v>2</v>
      </c>
      <c r="L58" t="s">
        <v>44</v>
      </c>
      <c r="N58">
        <v>4475</v>
      </c>
    </row>
    <row r="59" spans="3:14" x14ac:dyDescent="0.25">
      <c r="C59">
        <v>52.8</v>
      </c>
      <c r="E59">
        <v>50.9</v>
      </c>
      <c r="F59" t="s">
        <v>47</v>
      </c>
      <c r="H59">
        <v>9</v>
      </c>
      <c r="I59">
        <v>-89</v>
      </c>
      <c r="J59">
        <v>-2</v>
      </c>
      <c r="K59">
        <v>11</v>
      </c>
      <c r="N59">
        <v>100</v>
      </c>
    </row>
    <row r="60" spans="3:5" x14ac:dyDescent="0.25">
      <c r="C60">
        <v>1.9</v>
      </c>
      <c r="E60">
        <f>E56+C60</f>
      </c>
    </row>
    <row r="61" spans="1:14" x14ac:dyDescent="0.25">
      <c r="A61">
        <v>13</v>
      </c>
      <c r="C61" s="1">
        <v>2457</v>
      </c>
      <c r="E61" s="1">
        <v>2454</v>
      </c>
      <c r="F61" t="s">
        <v>43</v>
      </c>
      <c r="H61" s="1">
        <v>2193</v>
      </c>
      <c r="I61" s="1">
        <v>6768</v>
      </c>
      <c r="J61">
        <v>0</v>
      </c>
      <c r="L61" t="s">
        <v>44</v>
      </c>
      <c r="N61">
        <v>4575</v>
      </c>
    </row>
    <row r="62" spans="3:14" x14ac:dyDescent="0.25">
      <c r="C62" s="1">
        <v>1929</v>
      </c>
      <c r="E62" s="1">
        <v>1907</v>
      </c>
      <c r="F62" t="s">
        <v>45</v>
      </c>
      <c r="H62" s="1">
        <v>2180</v>
      </c>
      <c r="I62" s="1">
        <v>6653</v>
      </c>
      <c r="J62">
        <v>2</v>
      </c>
      <c r="L62" t="s">
        <v>46</v>
      </c>
      <c r="N62">
        <v>4475</v>
      </c>
    </row>
    <row r="63" spans="3:14" x14ac:dyDescent="0.25">
      <c r="C63">
        <v>52.8</v>
      </c>
      <c r="E63">
        <v>54.7</v>
      </c>
      <c r="F63" t="s">
        <v>47</v>
      </c>
      <c r="H63">
        <v>13</v>
      </c>
      <c r="I63">
        <v>115</v>
      </c>
      <c r="J63">
        <v>-2</v>
      </c>
      <c r="K63">
        <v>15</v>
      </c>
      <c r="N63">
        <v>100</v>
      </c>
    </row>
    <row r="64" spans="3:5" x14ac:dyDescent="0.25">
      <c r="C64">
        <v>-1.9</v>
      </c>
      <c r="E64">
        <f>E60+C64</f>
      </c>
    </row>
    <row r="65" spans="1:14" x14ac:dyDescent="0.25">
      <c r="A65">
        <v>14</v>
      </c>
      <c r="C65" s="1">
        <v>2468</v>
      </c>
      <c r="E65" s="1">
        <v>2450</v>
      </c>
      <c r="F65" t="s">
        <v>43</v>
      </c>
      <c r="H65" s="1">
        <v>2204</v>
      </c>
      <c r="I65" s="1">
        <v>6679</v>
      </c>
      <c r="J65">
        <v>0</v>
      </c>
      <c r="L65" t="s">
        <v>46</v>
      </c>
      <c r="N65">
        <v>4575</v>
      </c>
    </row>
    <row r="66" spans="3:14" x14ac:dyDescent="0.25">
      <c r="C66" s="1">
        <v>1940</v>
      </c>
      <c r="E66" s="1">
        <v>1928</v>
      </c>
      <c r="F66" t="s">
        <v>45</v>
      </c>
      <c r="H66" s="1">
        <v>2189</v>
      </c>
      <c r="I66" s="1">
        <v>6762</v>
      </c>
      <c r="J66">
        <v>2</v>
      </c>
      <c r="L66" t="s">
        <v>44</v>
      </c>
      <c r="N66">
        <v>4475</v>
      </c>
    </row>
    <row r="67" spans="3:14" x14ac:dyDescent="0.25">
      <c r="C67">
        <v>52.8</v>
      </c>
      <c r="E67">
        <v>52.2</v>
      </c>
      <c r="F67" t="s">
        <v>47</v>
      </c>
      <c r="H67">
        <v>15</v>
      </c>
      <c r="I67">
        <v>-83</v>
      </c>
      <c r="J67">
        <v>-2</v>
      </c>
      <c r="K67">
        <v>17</v>
      </c>
      <c r="N67">
        <v>100</v>
      </c>
    </row>
    <row r="68" spans="3:5" x14ac:dyDescent="0.25">
      <c r="C68">
        <v>0.6</v>
      </c>
      <c r="E68">
        <f>E64+C68</f>
      </c>
    </row>
    <row r="69" spans="1:14" x14ac:dyDescent="0.25">
      <c r="A69">
        <v>15</v>
      </c>
      <c r="C69" s="1">
        <v>2471</v>
      </c>
      <c r="E69" s="1">
        <v>2484</v>
      </c>
      <c r="F69" t="s">
        <v>43</v>
      </c>
      <c r="H69" s="1">
        <v>2207</v>
      </c>
      <c r="I69" s="1">
        <v>6784</v>
      </c>
      <c r="J69">
        <v>-2</v>
      </c>
      <c r="L69" t="s">
        <v>44</v>
      </c>
      <c r="N69">
        <v>4575</v>
      </c>
    </row>
    <row r="70" spans="3:14" x14ac:dyDescent="0.25">
      <c r="C70" s="1">
        <v>1943</v>
      </c>
      <c r="E70" s="1">
        <v>1913</v>
      </c>
      <c r="F70" t="s">
        <v>45</v>
      </c>
      <c r="H70" s="1">
        <v>2198</v>
      </c>
      <c r="I70" s="1">
        <v>6673</v>
      </c>
      <c r="J70">
        <v>0</v>
      </c>
      <c r="L70" t="s">
        <v>46</v>
      </c>
      <c r="N70">
        <v>4475</v>
      </c>
    </row>
    <row r="71" spans="3:14" x14ac:dyDescent="0.25">
      <c r="C71">
        <v>52.8</v>
      </c>
      <c r="E71">
        <v>57.1</v>
      </c>
      <c r="F71" t="s">
        <v>47</v>
      </c>
      <c r="H71">
        <v>9</v>
      </c>
      <c r="I71">
        <v>111</v>
      </c>
      <c r="J71">
        <v>-2</v>
      </c>
      <c r="K71">
        <v>11</v>
      </c>
      <c r="N71">
        <v>100</v>
      </c>
    </row>
    <row r="72" spans="3:5" x14ac:dyDescent="0.25">
      <c r="C72">
        <v>-4.3</v>
      </c>
      <c r="E72">
        <f>E68+C72</f>
      </c>
    </row>
    <row r="73" spans="1:14" x14ac:dyDescent="0.25">
      <c r="A73">
        <v>16</v>
      </c>
      <c r="C73" s="1">
        <v>2494</v>
      </c>
      <c r="E73" s="1">
        <v>2471</v>
      </c>
      <c r="F73" t="s">
        <v>43</v>
      </c>
      <c r="H73" s="1">
        <v>2230</v>
      </c>
      <c r="I73" s="1">
        <v>6707</v>
      </c>
      <c r="J73">
        <v>-2</v>
      </c>
      <c r="L73" t="s">
        <v>46</v>
      </c>
      <c r="N73">
        <v>4575</v>
      </c>
    </row>
    <row r="74" spans="3:14" x14ac:dyDescent="0.25">
      <c r="C74" s="1">
        <v>1966</v>
      </c>
      <c r="E74" s="1">
        <v>1968</v>
      </c>
      <c r="F74" t="s">
        <v>45</v>
      </c>
      <c r="H74" s="1">
        <v>2219</v>
      </c>
      <c r="I74" s="1">
        <v>6794</v>
      </c>
      <c r="J74">
        <v>0</v>
      </c>
      <c r="L74" t="s">
        <v>44</v>
      </c>
      <c r="N74">
        <v>4475</v>
      </c>
    </row>
    <row r="75" spans="3:14" x14ac:dyDescent="0.25">
      <c r="C75">
        <v>52.8</v>
      </c>
      <c r="E75">
        <v>50.3</v>
      </c>
      <c r="F75" t="s">
        <v>47</v>
      </c>
      <c r="H75">
        <v>11</v>
      </c>
      <c r="I75">
        <v>-87</v>
      </c>
      <c r="J75">
        <v>-2</v>
      </c>
      <c r="K75">
        <v>13</v>
      </c>
      <c r="N75">
        <v>100</v>
      </c>
    </row>
    <row r="76" spans="3:5" x14ac:dyDescent="0.25">
      <c r="C76">
        <v>2.5</v>
      </c>
      <c r="E76">
        <f>E72+C76</f>
      </c>
    </row>
    <row r="77" spans="1:14" x14ac:dyDescent="0.25">
      <c r="A77">
        <v>17</v>
      </c>
      <c r="C77" s="1">
        <v>2511</v>
      </c>
      <c r="E77" s="1">
        <v>2502</v>
      </c>
      <c r="F77" t="s">
        <v>43</v>
      </c>
      <c r="H77" s="1">
        <v>2247</v>
      </c>
      <c r="I77" s="1">
        <v>6822</v>
      </c>
      <c r="J77">
        <v>0</v>
      </c>
      <c r="L77" t="s">
        <v>44</v>
      </c>
      <c r="N77">
        <v>4575</v>
      </c>
    </row>
    <row r="78" spans="3:14" x14ac:dyDescent="0.25">
      <c r="C78" s="1">
        <v>1983</v>
      </c>
      <c r="E78" s="1">
        <v>1952</v>
      </c>
      <c r="F78" t="s">
        <v>45</v>
      </c>
      <c r="H78" s="1">
        <v>2227</v>
      </c>
      <c r="I78" s="1">
        <v>6700</v>
      </c>
      <c r="J78">
        <v>2</v>
      </c>
      <c r="L78" t="s">
        <v>46</v>
      </c>
      <c r="N78">
        <v>4475</v>
      </c>
    </row>
    <row r="79" spans="3:14" x14ac:dyDescent="0.25">
      <c r="C79">
        <v>52.8</v>
      </c>
      <c r="E79">
        <v>55</v>
      </c>
      <c r="F79" t="s">
        <v>47</v>
      </c>
      <c r="H79">
        <v>20</v>
      </c>
      <c r="I79">
        <v>122</v>
      </c>
      <c r="J79">
        <v>-2</v>
      </c>
      <c r="K79">
        <v>22</v>
      </c>
      <c r="N79">
        <v>100</v>
      </c>
    </row>
    <row r="80" spans="3:5" x14ac:dyDescent="0.25">
      <c r="C80">
        <v>-2.2</v>
      </c>
      <c r="E80">
        <f>E76+C80</f>
      </c>
    </row>
    <row r="81" spans="1:14" x14ac:dyDescent="0.25">
      <c r="A81">
        <v>18</v>
      </c>
      <c r="C81" s="1">
        <v>2520</v>
      </c>
      <c r="E81" s="1">
        <v>2487</v>
      </c>
      <c r="F81" t="s">
        <v>43</v>
      </c>
      <c r="H81" s="1">
        <v>2256</v>
      </c>
      <c r="I81" s="1">
        <v>6733</v>
      </c>
      <c r="J81">
        <v>-2</v>
      </c>
      <c r="L81" t="s">
        <v>46</v>
      </c>
      <c r="N81">
        <v>4575</v>
      </c>
    </row>
    <row r="82" spans="3:14" x14ac:dyDescent="0.25">
      <c r="C82" s="1">
        <v>1992</v>
      </c>
      <c r="E82" s="1">
        <v>1993</v>
      </c>
      <c r="F82" t="s">
        <v>45</v>
      </c>
      <c r="H82" s="1">
        <v>2240</v>
      </c>
      <c r="I82" s="1">
        <v>6815</v>
      </c>
      <c r="J82">
        <v>0</v>
      </c>
      <c r="L82" t="s">
        <v>44</v>
      </c>
      <c r="N82">
        <v>4475</v>
      </c>
    </row>
    <row r="83" spans="3:14" x14ac:dyDescent="0.25">
      <c r="C83">
        <v>52.8</v>
      </c>
      <c r="E83">
        <v>49.4</v>
      </c>
      <c r="F83" t="s">
        <v>47</v>
      </c>
      <c r="H83">
        <v>16</v>
      </c>
      <c r="I83">
        <v>-82</v>
      </c>
      <c r="J83">
        <v>-2</v>
      </c>
      <c r="K83">
        <v>18</v>
      </c>
      <c r="N83">
        <v>100</v>
      </c>
    </row>
    <row r="84" spans="3:5" x14ac:dyDescent="0.25">
      <c r="C84">
        <v>3.4</v>
      </c>
      <c r="E84">
        <f>E80+C84</f>
      </c>
    </row>
    <row r="85" spans="1:14" x14ac:dyDescent="0.25">
      <c r="A85">
        <v>19</v>
      </c>
      <c r="C85" s="1">
        <v>2541</v>
      </c>
      <c r="E85" s="1">
        <v>2508</v>
      </c>
      <c r="F85" t="s">
        <v>43</v>
      </c>
      <c r="H85" s="1">
        <v>2277</v>
      </c>
      <c r="I85" s="1">
        <v>6853</v>
      </c>
      <c r="J85">
        <v>-1</v>
      </c>
      <c r="L85" t="s">
        <v>44</v>
      </c>
      <c r="N85">
        <v>4575</v>
      </c>
    </row>
    <row r="86" spans="3:14" x14ac:dyDescent="0.25">
      <c r="C86" s="1">
        <v>2013</v>
      </c>
      <c r="E86" s="1">
        <v>1991</v>
      </c>
      <c r="F86" t="s">
        <v>45</v>
      </c>
      <c r="H86" s="1">
        <v>2249</v>
      </c>
      <c r="I86" s="1">
        <v>6723</v>
      </c>
      <c r="J86">
        <v>1</v>
      </c>
      <c r="L86" t="s">
        <v>46</v>
      </c>
      <c r="N86">
        <v>4475</v>
      </c>
    </row>
    <row r="87" spans="3:14" x14ac:dyDescent="0.25">
      <c r="C87">
        <v>52.8</v>
      </c>
      <c r="E87">
        <v>51.7</v>
      </c>
      <c r="F87" t="s">
        <v>47</v>
      </c>
      <c r="H87">
        <v>28</v>
      </c>
      <c r="I87">
        <v>130</v>
      </c>
      <c r="J87">
        <v>-2</v>
      </c>
      <c r="K87">
        <v>30</v>
      </c>
      <c r="N87">
        <v>100</v>
      </c>
    </row>
    <row r="88" spans="3:5" x14ac:dyDescent="0.25">
      <c r="C88">
        <v>1.1</v>
      </c>
      <c r="E88">
        <f>E84+C88</f>
      </c>
    </row>
    <row r="89" spans="1:14" x14ac:dyDescent="0.25">
      <c r="A89">
        <v>20</v>
      </c>
      <c r="C89" s="1">
        <v>2552</v>
      </c>
      <c r="E89" s="1">
        <v>2522</v>
      </c>
      <c r="F89" t="s">
        <v>43</v>
      </c>
      <c r="H89" s="1">
        <v>2288</v>
      </c>
      <c r="I89" s="1">
        <v>6765</v>
      </c>
      <c r="J89">
        <v>-2</v>
      </c>
      <c r="L89" t="s">
        <v>46</v>
      </c>
      <c r="N89">
        <v>4575</v>
      </c>
    </row>
    <row r="90" spans="3:14" x14ac:dyDescent="0.25">
      <c r="C90" s="1">
        <v>2024</v>
      </c>
      <c r="E90" s="1">
        <v>1999</v>
      </c>
      <c r="F90" t="s">
        <v>45</v>
      </c>
      <c r="H90" s="1">
        <v>2260</v>
      </c>
      <c r="I90" s="1">
        <v>6835</v>
      </c>
      <c r="J90">
        <v>0</v>
      </c>
      <c r="L90" t="s">
        <v>44</v>
      </c>
      <c r="N90">
        <v>4475</v>
      </c>
    </row>
    <row r="91" spans="3:14" x14ac:dyDescent="0.25">
      <c r="C91">
        <v>52.8</v>
      </c>
      <c r="E91">
        <v>52.3</v>
      </c>
      <c r="F91" t="s">
        <v>47</v>
      </c>
      <c r="H91">
        <v>28</v>
      </c>
      <c r="I91">
        <v>-70</v>
      </c>
      <c r="J91">
        <v>-2</v>
      </c>
      <c r="K91">
        <v>30</v>
      </c>
      <c r="N91">
        <v>100</v>
      </c>
    </row>
    <row r="92" spans="3:5" x14ac:dyDescent="0.25">
      <c r="C92">
        <v>0.5</v>
      </c>
      <c r="E92">
        <f>E88+C92</f>
      </c>
    </row>
    <row r="93" spans="1:14" x14ac:dyDescent="0.25">
      <c r="A93">
        <v>21</v>
      </c>
      <c r="C93" s="1">
        <v>2547</v>
      </c>
      <c r="E93" s="1">
        <v>2553</v>
      </c>
      <c r="F93" t="s">
        <v>43</v>
      </c>
      <c r="H93" s="1">
        <v>2283</v>
      </c>
      <c r="I93" s="1">
        <v>6858</v>
      </c>
      <c r="J93">
        <v>0</v>
      </c>
      <c r="L93" t="s">
        <v>44</v>
      </c>
      <c r="N93">
        <v>4575</v>
      </c>
    </row>
    <row r="94" spans="3:14" x14ac:dyDescent="0.25">
      <c r="C94" s="1">
        <v>2019</v>
      </c>
      <c r="E94" s="1">
        <v>1999</v>
      </c>
      <c r="F94" t="s">
        <v>45</v>
      </c>
      <c r="H94" s="1">
        <v>2276</v>
      </c>
      <c r="I94" s="1">
        <v>6749</v>
      </c>
      <c r="J94">
        <v>2</v>
      </c>
      <c r="L94" t="s">
        <v>46</v>
      </c>
      <c r="N94">
        <v>4475</v>
      </c>
    </row>
    <row r="95" spans="3:14" x14ac:dyDescent="0.25">
      <c r="C95">
        <v>52.8</v>
      </c>
      <c r="E95">
        <v>55.4</v>
      </c>
      <c r="F95" t="s">
        <v>47</v>
      </c>
      <c r="H95">
        <v>7</v>
      </c>
      <c r="I95">
        <v>109</v>
      </c>
      <c r="J95">
        <v>-2</v>
      </c>
      <c r="K95">
        <v>9</v>
      </c>
      <c r="N95">
        <v>100</v>
      </c>
    </row>
    <row r="96" spans="3:5" x14ac:dyDescent="0.25">
      <c r="C96">
        <v>-2.6</v>
      </c>
      <c r="E96">
        <f>E92+C96</f>
      </c>
    </row>
    <row r="97" spans="1:14" x14ac:dyDescent="0.25">
      <c r="A97">
        <v>22</v>
      </c>
      <c r="C97" s="1">
        <v>2576</v>
      </c>
      <c r="E97" s="1">
        <v>2554</v>
      </c>
      <c r="F97" t="s">
        <v>43</v>
      </c>
      <c r="H97" s="1">
        <v>2312</v>
      </c>
      <c r="I97" s="1">
        <v>6789</v>
      </c>
      <c r="J97">
        <v>-2</v>
      </c>
      <c r="L97" t="s">
        <v>46</v>
      </c>
      <c r="N97">
        <v>4575</v>
      </c>
    </row>
    <row r="98" spans="3:14" x14ac:dyDescent="0.25">
      <c r="C98" s="1">
        <v>2048</v>
      </c>
      <c r="E98" s="1">
        <v>2049</v>
      </c>
      <c r="F98" t="s">
        <v>45</v>
      </c>
      <c r="H98" s="1">
        <v>2301</v>
      </c>
      <c r="I98" s="1">
        <v>6876</v>
      </c>
      <c r="J98">
        <v>0</v>
      </c>
      <c r="L98" t="s">
        <v>44</v>
      </c>
      <c r="N98">
        <v>4475</v>
      </c>
    </row>
    <row r="99" spans="3:14" x14ac:dyDescent="0.25">
      <c r="C99">
        <v>52.8</v>
      </c>
      <c r="E99">
        <v>50.5</v>
      </c>
      <c r="F99" t="s">
        <v>47</v>
      </c>
      <c r="H99">
        <v>11</v>
      </c>
      <c r="I99">
        <v>-87</v>
      </c>
      <c r="J99">
        <v>-2</v>
      </c>
      <c r="K99">
        <v>13</v>
      </c>
      <c r="N99">
        <v>100</v>
      </c>
    </row>
    <row r="100" spans="3:5" x14ac:dyDescent="0.25">
      <c r="C100">
        <v>2.3</v>
      </c>
      <c r="E100">
        <f>E96+C100</f>
      </c>
    </row>
    <row r="101" spans="1:14" x14ac:dyDescent="0.25">
      <c r="A101">
        <v>23</v>
      </c>
      <c r="C101" s="1">
        <v>2604</v>
      </c>
      <c r="E101" s="1">
        <v>2596</v>
      </c>
      <c r="F101" t="s">
        <v>43</v>
      </c>
      <c r="H101" s="1">
        <v>2340</v>
      </c>
      <c r="I101" s="1">
        <v>6916</v>
      </c>
      <c r="J101">
        <v>-1</v>
      </c>
      <c r="L101" t="s">
        <v>44</v>
      </c>
      <c r="N101">
        <v>4575</v>
      </c>
    </row>
    <row r="102" spans="3:14" x14ac:dyDescent="0.25">
      <c r="C102" s="1">
        <v>2076</v>
      </c>
      <c r="E102" s="1">
        <v>2033</v>
      </c>
      <c r="F102" t="s">
        <v>45</v>
      </c>
      <c r="H102" s="1">
        <v>2314</v>
      </c>
      <c r="I102" s="1">
        <v>6788</v>
      </c>
      <c r="J102">
        <v>1</v>
      </c>
      <c r="L102" t="s">
        <v>46</v>
      </c>
      <c r="N102">
        <v>4475</v>
      </c>
    </row>
    <row r="103" spans="3:14" x14ac:dyDescent="0.25">
      <c r="C103">
        <v>52.8</v>
      </c>
      <c r="E103">
        <v>56.3</v>
      </c>
      <c r="F103" t="s">
        <v>47</v>
      </c>
      <c r="H103">
        <v>26</v>
      </c>
      <c r="I103">
        <v>128</v>
      </c>
      <c r="J103">
        <v>-2</v>
      </c>
      <c r="K103">
        <v>28</v>
      </c>
      <c r="N103">
        <v>100</v>
      </c>
    </row>
    <row r="104" spans="3:5" x14ac:dyDescent="0.25">
      <c r="C104">
        <v>-3.5</v>
      </c>
      <c r="E104">
        <f>E100+C104</f>
      </c>
    </row>
    <row r="105" spans="1:14" x14ac:dyDescent="0.25">
      <c r="A105">
        <v>24</v>
      </c>
      <c r="C105" s="1">
        <v>2610</v>
      </c>
      <c r="E105" s="1">
        <v>2601</v>
      </c>
      <c r="F105" t="s">
        <v>43</v>
      </c>
      <c r="H105" s="1">
        <v>2346</v>
      </c>
      <c r="I105" s="1">
        <v>6823</v>
      </c>
      <c r="J105">
        <v>-2</v>
      </c>
      <c r="L105" t="s">
        <v>46</v>
      </c>
      <c r="N105">
        <v>4575</v>
      </c>
    </row>
    <row r="106" spans="3:14" x14ac:dyDescent="0.25">
      <c r="C106" s="1">
        <v>2082</v>
      </c>
      <c r="E106" s="1">
        <v>2075</v>
      </c>
      <c r="F106" t="s">
        <v>45</v>
      </c>
      <c r="H106" s="1">
        <v>2338</v>
      </c>
      <c r="I106" s="1">
        <v>6913</v>
      </c>
      <c r="J106">
        <v>0</v>
      </c>
      <c r="L106" t="s">
        <v>44</v>
      </c>
      <c r="N106">
        <v>4475</v>
      </c>
    </row>
    <row r="107" spans="3:14" x14ac:dyDescent="0.25">
      <c r="C107">
        <v>52.8</v>
      </c>
      <c r="E107">
        <v>52.6</v>
      </c>
      <c r="F107" t="s">
        <v>47</v>
      </c>
      <c r="H107">
        <v>8</v>
      </c>
      <c r="I107">
        <v>-90</v>
      </c>
      <c r="J107">
        <v>-2</v>
      </c>
      <c r="K107">
        <v>10</v>
      </c>
      <c r="N107">
        <v>100</v>
      </c>
    </row>
    <row r="108" spans="3:5" x14ac:dyDescent="0.25">
      <c r="C108">
        <v>0.2</v>
      </c>
      <c r="E108">
        <f>E104+C108</f>
      </c>
    </row>
    <row r="109" spans="1:14" x14ac:dyDescent="0.25">
      <c r="A109">
        <v>25</v>
      </c>
      <c r="C109" s="1">
        <v>2650</v>
      </c>
      <c r="E109" s="1">
        <v>2648</v>
      </c>
      <c r="F109" t="s">
        <v>43</v>
      </c>
      <c r="H109" s="1">
        <v>2386</v>
      </c>
      <c r="I109" s="1">
        <v>6961</v>
      </c>
      <c r="J109">
        <v>0</v>
      </c>
      <c r="L109" t="s">
        <v>44</v>
      </c>
      <c r="N109">
        <v>4575</v>
      </c>
    </row>
    <row r="110" spans="3:14" x14ac:dyDescent="0.25">
      <c r="C110" s="1">
        <v>2122</v>
      </c>
      <c r="E110" s="1">
        <v>2077</v>
      </c>
      <c r="F110" t="s">
        <v>45</v>
      </c>
      <c r="H110" s="1">
        <v>2362</v>
      </c>
      <c r="I110" s="1">
        <v>6835</v>
      </c>
      <c r="J110">
        <v>2</v>
      </c>
      <c r="L110" t="s">
        <v>46</v>
      </c>
      <c r="N110">
        <v>4475</v>
      </c>
    </row>
    <row r="111" spans="3:14" x14ac:dyDescent="0.25">
      <c r="C111">
        <v>52.8</v>
      </c>
      <c r="E111">
        <v>57.1</v>
      </c>
      <c r="F111" t="s">
        <v>47</v>
      </c>
      <c r="H111">
        <v>24</v>
      </c>
      <c r="I111">
        <v>126</v>
      </c>
      <c r="J111">
        <v>-2</v>
      </c>
      <c r="K111">
        <v>26</v>
      </c>
      <c r="N111">
        <v>100</v>
      </c>
    </row>
    <row r="112" spans="3:5" x14ac:dyDescent="0.25">
      <c r="C112">
        <v>-4.3</v>
      </c>
      <c r="E112">
        <f>E108+C112</f>
      </c>
    </row>
    <row r="113" spans="1:14" x14ac:dyDescent="0.25">
      <c r="A113">
        <v>26</v>
      </c>
      <c r="C113" s="1">
        <v>2664</v>
      </c>
      <c r="E113" s="1">
        <v>2626</v>
      </c>
      <c r="F113" t="s">
        <v>43</v>
      </c>
      <c r="H113" s="1">
        <v>2400</v>
      </c>
      <c r="I113" s="1">
        <v>6876</v>
      </c>
      <c r="J113">
        <v>-1</v>
      </c>
      <c r="L113" t="s">
        <v>46</v>
      </c>
      <c r="N113">
        <v>4575</v>
      </c>
    </row>
    <row r="114" spans="3:14" x14ac:dyDescent="0.25">
      <c r="C114" s="1">
        <v>2136</v>
      </c>
      <c r="E114" s="1">
        <v>2127</v>
      </c>
      <c r="F114" t="s">
        <v>45</v>
      </c>
      <c r="H114" s="1">
        <v>2376</v>
      </c>
      <c r="I114" s="1">
        <v>6950</v>
      </c>
      <c r="J114">
        <v>1</v>
      </c>
      <c r="L114" t="s">
        <v>44</v>
      </c>
      <c r="N114">
        <v>4475</v>
      </c>
    </row>
    <row r="115" spans="3:14" x14ac:dyDescent="0.25">
      <c r="C115">
        <v>52.8</v>
      </c>
      <c r="E115">
        <v>49.9</v>
      </c>
      <c r="F115" t="s">
        <v>47</v>
      </c>
      <c r="H115">
        <v>24</v>
      </c>
      <c r="I115">
        <v>-74</v>
      </c>
      <c r="J115">
        <v>-2</v>
      </c>
      <c r="K115">
        <v>26</v>
      </c>
      <c r="N115">
        <v>100</v>
      </c>
    </row>
    <row r="116" spans="3:5" x14ac:dyDescent="0.25">
      <c r="C116">
        <v>2.9</v>
      </c>
      <c r="E116">
        <f>E112+C116</f>
      </c>
    </row>
    <row r="117" spans="1:14" x14ac:dyDescent="0.25">
      <c r="A117">
        <v>27</v>
      </c>
      <c r="C117" s="1">
        <v>2676</v>
      </c>
      <c r="E117" s="1">
        <v>2637</v>
      </c>
      <c r="F117" t="s">
        <v>43</v>
      </c>
      <c r="H117" s="1">
        <v>2412</v>
      </c>
      <c r="I117" s="1">
        <v>6987</v>
      </c>
      <c r="J117">
        <v>0</v>
      </c>
      <c r="L117" t="s">
        <v>44</v>
      </c>
      <c r="N117">
        <v>4575</v>
      </c>
    </row>
    <row r="118" spans="3:14" x14ac:dyDescent="0.25">
      <c r="C118" s="1">
        <v>2148</v>
      </c>
      <c r="E118" s="1">
        <v>2139</v>
      </c>
      <c r="F118" t="s">
        <v>45</v>
      </c>
      <c r="H118" s="1">
        <v>2388</v>
      </c>
      <c r="I118" s="1">
        <v>6861</v>
      </c>
      <c r="J118">
        <v>2</v>
      </c>
      <c r="L118" t="s">
        <v>46</v>
      </c>
      <c r="N118">
        <v>4475</v>
      </c>
    </row>
    <row r="119" spans="3:14" x14ac:dyDescent="0.25">
      <c r="C119">
        <v>52.8</v>
      </c>
      <c r="E119">
        <v>49.8</v>
      </c>
      <c r="F119" t="s">
        <v>47</v>
      </c>
      <c r="H119">
        <v>24</v>
      </c>
      <c r="I119">
        <v>126</v>
      </c>
      <c r="J119">
        <v>-2</v>
      </c>
      <c r="K119">
        <v>26</v>
      </c>
      <c r="N119">
        <v>100</v>
      </c>
    </row>
    <row r="120" spans="3:5" x14ac:dyDescent="0.25">
      <c r="C120">
        <v>3</v>
      </c>
      <c r="E120">
        <f>E116+C120</f>
      </c>
    </row>
    <row r="121" spans="1:14" x14ac:dyDescent="0.25">
      <c r="A121">
        <v>28</v>
      </c>
      <c r="C121" s="1">
        <v>2681</v>
      </c>
      <c r="E121" s="1">
        <v>2674</v>
      </c>
      <c r="F121" t="s">
        <v>43</v>
      </c>
      <c r="H121" s="1">
        <v>2417</v>
      </c>
      <c r="I121" s="1">
        <v>6894</v>
      </c>
      <c r="J121">
        <v>-2</v>
      </c>
      <c r="L121" t="s">
        <v>46</v>
      </c>
      <c r="N121">
        <v>4575</v>
      </c>
    </row>
    <row r="122" spans="3:14" x14ac:dyDescent="0.25">
      <c r="C122" s="1">
        <v>2153</v>
      </c>
      <c r="E122" s="1">
        <v>2135</v>
      </c>
      <c r="F122" t="s">
        <v>45</v>
      </c>
      <c r="H122" s="1">
        <v>2404</v>
      </c>
      <c r="I122" s="1">
        <v>6979</v>
      </c>
      <c r="J122">
        <v>0</v>
      </c>
      <c r="L122" t="s">
        <v>44</v>
      </c>
      <c r="N122">
        <v>4475</v>
      </c>
    </row>
    <row r="123" spans="3:14" x14ac:dyDescent="0.25">
      <c r="C123">
        <v>52.8</v>
      </c>
      <c r="E123">
        <v>53.9</v>
      </c>
      <c r="F123" t="s">
        <v>47</v>
      </c>
      <c r="H123">
        <v>13</v>
      </c>
      <c r="I123">
        <v>-85</v>
      </c>
      <c r="J123">
        <v>-2</v>
      </c>
      <c r="K123">
        <v>15</v>
      </c>
      <c r="N123">
        <v>100</v>
      </c>
    </row>
    <row r="124" spans="3:5" x14ac:dyDescent="0.25">
      <c r="C124">
        <v>-1.1</v>
      </c>
      <c r="E124">
        <f>E120+C124</f>
      </c>
    </row>
    <row r="125" spans="1:14" x14ac:dyDescent="0.25">
      <c r="A125">
        <v>29</v>
      </c>
      <c r="C125" s="1">
        <v>2691</v>
      </c>
      <c r="E125" s="1">
        <v>2668</v>
      </c>
      <c r="F125" t="s">
        <v>43</v>
      </c>
      <c r="H125" s="1">
        <v>2427</v>
      </c>
      <c r="I125" s="1">
        <v>7004</v>
      </c>
      <c r="J125">
        <v>-2</v>
      </c>
      <c r="L125" t="s">
        <v>44</v>
      </c>
      <c r="N125">
        <v>4575</v>
      </c>
    </row>
    <row r="126" spans="3:14" x14ac:dyDescent="0.25">
      <c r="C126" s="1">
        <v>2163</v>
      </c>
      <c r="E126" s="1">
        <v>2157</v>
      </c>
      <c r="F126" t="s">
        <v>45</v>
      </c>
      <c r="H126" s="1">
        <v>2412</v>
      </c>
      <c r="I126" s="1">
        <v>6887</v>
      </c>
      <c r="J126">
        <v>0</v>
      </c>
      <c r="L126" t="s">
        <v>46</v>
      </c>
      <c r="N126">
        <v>4475</v>
      </c>
    </row>
    <row r="127" spans="3:14" x14ac:dyDescent="0.25">
      <c r="C127">
        <v>52.8</v>
      </c>
      <c r="E127">
        <v>51.1</v>
      </c>
      <c r="F127" t="s">
        <v>47</v>
      </c>
      <c r="H127">
        <v>15</v>
      </c>
      <c r="I127">
        <v>117</v>
      </c>
      <c r="J127">
        <v>-2</v>
      </c>
      <c r="K127">
        <v>17</v>
      </c>
      <c r="N127">
        <v>100</v>
      </c>
    </row>
    <row r="128" spans="3:5" x14ac:dyDescent="0.25">
      <c r="C128">
        <v>1.7</v>
      </c>
      <c r="E128">
        <f>E124+C128</f>
      </c>
    </row>
    <row r="129" spans="1:14" x14ac:dyDescent="0.25">
      <c r="A129">
        <v>30</v>
      </c>
      <c r="C129" s="1">
        <v>2710</v>
      </c>
      <c r="E129" s="1">
        <v>2710</v>
      </c>
      <c r="F129" t="s">
        <v>43</v>
      </c>
      <c r="H129" s="1">
        <v>2446</v>
      </c>
      <c r="I129" s="1">
        <v>6921</v>
      </c>
      <c r="J129">
        <v>0</v>
      </c>
      <c r="L129" t="s">
        <v>46</v>
      </c>
      <c r="N129">
        <v>4575</v>
      </c>
    </row>
    <row r="130" spans="3:14" x14ac:dyDescent="0.25">
      <c r="C130" s="1">
        <v>2182</v>
      </c>
      <c r="E130" s="1">
        <v>2154</v>
      </c>
      <c r="F130" t="s">
        <v>45</v>
      </c>
      <c r="H130" s="1">
        <v>2432</v>
      </c>
      <c r="I130" s="1">
        <v>7005</v>
      </c>
      <c r="J130">
        <v>2</v>
      </c>
      <c r="L130" t="s">
        <v>44</v>
      </c>
      <c r="N130">
        <v>4475</v>
      </c>
    </row>
    <row r="131" spans="3:14" x14ac:dyDescent="0.25">
      <c r="C131">
        <v>52.8</v>
      </c>
      <c r="E131">
        <v>55.6</v>
      </c>
      <c r="F131" t="s">
        <v>47</v>
      </c>
      <c r="H131">
        <v>14</v>
      </c>
      <c r="I131">
        <v>-84</v>
      </c>
      <c r="J131">
        <v>-2</v>
      </c>
      <c r="K131">
        <v>16</v>
      </c>
      <c r="N131">
        <v>100</v>
      </c>
    </row>
    <row r="132" spans="3:5" x14ac:dyDescent="0.25">
      <c r="C132">
        <v>-2.8</v>
      </c>
      <c r="E132">
        <f>E128+C132</f>
      </c>
    </row>
    <row r="133" spans="1:14" x14ac:dyDescent="0.25">
      <c r="A133">
        <v>31</v>
      </c>
      <c r="C133" s="1">
        <v>2725</v>
      </c>
      <c r="E133" s="1">
        <v>2697</v>
      </c>
      <c r="F133" t="s">
        <v>43</v>
      </c>
      <c r="H133" s="1">
        <v>2461</v>
      </c>
      <c r="I133" s="1">
        <v>7037</v>
      </c>
      <c r="J133">
        <v>-1</v>
      </c>
      <c r="L133" t="s">
        <v>44</v>
      </c>
      <c r="N133">
        <v>4575</v>
      </c>
    </row>
    <row r="134" spans="3:14" x14ac:dyDescent="0.25">
      <c r="C134" s="1">
        <v>2197</v>
      </c>
      <c r="E134" s="1">
        <v>2210</v>
      </c>
      <c r="F134" t="s">
        <v>45</v>
      </c>
      <c r="H134" s="1">
        <v>2453</v>
      </c>
      <c r="I134" s="1">
        <v>6927</v>
      </c>
      <c r="J134">
        <v>1</v>
      </c>
      <c r="L134" t="s">
        <v>46</v>
      </c>
      <c r="N134">
        <v>4475</v>
      </c>
    </row>
    <row r="135" spans="3:14" x14ac:dyDescent="0.25">
      <c r="C135">
        <v>52.8</v>
      </c>
      <c r="E135">
        <v>48.7</v>
      </c>
      <c r="F135" t="s">
        <v>47</v>
      </c>
      <c r="H135">
        <v>8</v>
      </c>
      <c r="I135">
        <v>110</v>
      </c>
      <c r="J135">
        <v>-2</v>
      </c>
      <c r="K135">
        <v>10</v>
      </c>
      <c r="N135">
        <v>100</v>
      </c>
    </row>
    <row r="136" spans="3:5" x14ac:dyDescent="0.25">
      <c r="C136">
        <v>4.1</v>
      </c>
      <c r="E136">
        <f>E132+C136</f>
      </c>
    </row>
    <row r="137" spans="1:14" x14ac:dyDescent="0.25">
      <c r="A137">
        <v>32</v>
      </c>
      <c r="C137" s="1">
        <v>2746</v>
      </c>
      <c r="E137" s="1">
        <v>2736</v>
      </c>
      <c r="F137" t="s">
        <v>43</v>
      </c>
      <c r="H137" s="1">
        <v>2482</v>
      </c>
      <c r="I137" s="1">
        <v>6958</v>
      </c>
      <c r="J137">
        <v>-1</v>
      </c>
      <c r="L137" t="s">
        <v>46</v>
      </c>
      <c r="N137">
        <v>4575</v>
      </c>
    </row>
    <row r="138" spans="3:14" x14ac:dyDescent="0.25">
      <c r="C138" s="1">
        <v>2218</v>
      </c>
      <c r="E138" s="1">
        <v>2199</v>
      </c>
      <c r="F138" t="s">
        <v>45</v>
      </c>
      <c r="H138" s="1">
        <v>2467</v>
      </c>
      <c r="I138" s="1">
        <v>7041</v>
      </c>
      <c r="J138">
        <v>1</v>
      </c>
      <c r="L138" t="s">
        <v>44</v>
      </c>
      <c r="N138">
        <v>4475</v>
      </c>
    </row>
    <row r="139" spans="3:14" x14ac:dyDescent="0.25">
      <c r="C139">
        <v>52.8</v>
      </c>
      <c r="E139">
        <v>53.7</v>
      </c>
      <c r="F139" t="s">
        <v>47</v>
      </c>
      <c r="H139">
        <v>15</v>
      </c>
      <c r="I139">
        <v>-83</v>
      </c>
      <c r="J139">
        <v>-2</v>
      </c>
      <c r="K139">
        <v>17</v>
      </c>
      <c r="N139">
        <v>100</v>
      </c>
    </row>
    <row r="140" spans="3:5" x14ac:dyDescent="0.25">
      <c r="C140">
        <v>-0.9</v>
      </c>
      <c r="E140">
        <f>E136+C140</f>
      </c>
    </row>
    <row r="141" spans="1:14" x14ac:dyDescent="0.25">
      <c r="A141">
        <v>33</v>
      </c>
      <c r="C141" s="1">
        <v>2746</v>
      </c>
      <c r="E141" s="1">
        <v>2746</v>
      </c>
      <c r="F141" t="s">
        <v>43</v>
      </c>
      <c r="H141" s="1">
        <v>2482</v>
      </c>
      <c r="I141" s="1">
        <v>7058</v>
      </c>
      <c r="J141">
        <v>-1</v>
      </c>
      <c r="L141" t="s">
        <v>44</v>
      </c>
      <c r="N141">
        <v>4575</v>
      </c>
    </row>
    <row r="142" spans="3:14" x14ac:dyDescent="0.25">
      <c r="C142" s="1">
        <v>2218</v>
      </c>
      <c r="E142" s="1">
        <v>2204</v>
      </c>
      <c r="F142" t="s">
        <v>45</v>
      </c>
      <c r="H142" s="1">
        <v>2475</v>
      </c>
      <c r="I142" s="1">
        <v>6949</v>
      </c>
      <c r="J142">
        <v>1</v>
      </c>
      <c r="L142" t="s">
        <v>46</v>
      </c>
      <c r="N142">
        <v>4475</v>
      </c>
    </row>
    <row r="143" spans="3:14" x14ac:dyDescent="0.25">
      <c r="C143">
        <v>52.8</v>
      </c>
      <c r="E143">
        <v>54.2</v>
      </c>
      <c r="F143" t="s">
        <v>47</v>
      </c>
      <c r="H143">
        <v>7</v>
      </c>
      <c r="I143">
        <v>109</v>
      </c>
      <c r="J143">
        <v>-2</v>
      </c>
      <c r="K143">
        <v>9</v>
      </c>
      <c r="N143">
        <v>100</v>
      </c>
    </row>
    <row r="144" spans="3:5" x14ac:dyDescent="0.25">
      <c r="C144">
        <v>-1.4</v>
      </c>
      <c r="E144">
        <f>E140+C144</f>
      </c>
    </row>
    <row r="145" spans="1:14" x14ac:dyDescent="0.25">
      <c r="A145">
        <v>34</v>
      </c>
      <c r="C145" s="1">
        <v>2769</v>
      </c>
      <c r="E145" s="1">
        <v>2744</v>
      </c>
      <c r="F145" t="s">
        <v>43</v>
      </c>
      <c r="H145" s="1">
        <v>2505</v>
      </c>
      <c r="I145" s="1">
        <v>6981</v>
      </c>
      <c r="J145">
        <v>-1</v>
      </c>
      <c r="L145" t="s">
        <v>46</v>
      </c>
      <c r="N145">
        <v>4575</v>
      </c>
    </row>
    <row r="146" spans="3:14" x14ac:dyDescent="0.25">
      <c r="C146" s="1">
        <v>2241</v>
      </c>
      <c r="E146" s="1">
        <v>2235</v>
      </c>
      <c r="F146" t="s">
        <v>45</v>
      </c>
      <c r="H146" s="1">
        <v>2489</v>
      </c>
      <c r="I146" s="1">
        <v>7063</v>
      </c>
      <c r="J146">
        <v>1</v>
      </c>
      <c r="L146" t="s">
        <v>44</v>
      </c>
      <c r="N146">
        <v>4475</v>
      </c>
    </row>
    <row r="147" spans="3:14" x14ac:dyDescent="0.25">
      <c r="C147">
        <v>52.8</v>
      </c>
      <c r="E147">
        <v>50.9</v>
      </c>
      <c r="F147" t="s">
        <v>47</v>
      </c>
      <c r="H147">
        <v>16</v>
      </c>
      <c r="I147">
        <v>-82</v>
      </c>
      <c r="J147">
        <v>-2</v>
      </c>
      <c r="K147">
        <v>18</v>
      </c>
      <c r="N147">
        <v>100</v>
      </c>
    </row>
    <row r="148" spans="3:5" x14ac:dyDescent="0.25">
      <c r="C148">
        <v>1.9</v>
      </c>
      <c r="E148">
        <f>E144+C148</f>
      </c>
    </row>
    <row r="149" spans="1:10" x14ac:dyDescent="0.25">
      <c r="A149" t="s">
        <v>48</v>
      </c>
      <c r="C149">
        <v>85640</v>
      </c>
      <c r="E149">
        <v>85127</v>
      </c>
      <c r="F149" t="s">
        <v>43</v>
      </c>
      <c r="H149">
        <v>76664</v>
      </c>
      <c r="I149">
        <v>230546</v>
      </c>
      <c r="J149">
        <v>-32</v>
      </c>
    </row>
    <row r="150" spans="3:10" x14ac:dyDescent="0.25">
      <c r="C150">
        <v>67688</v>
      </c>
      <c r="E150">
        <v>67146</v>
      </c>
      <c r="F150" t="s">
        <v>45</v>
      </c>
      <c r="H150">
        <v>76127</v>
      </c>
      <c r="I150">
        <v>229941</v>
      </c>
      <c r="J150">
        <v>36</v>
      </c>
    </row>
    <row r="151" spans="3:11" x14ac:dyDescent="0.25">
      <c r="C151">
        <v>1794.9</v>
      </c>
      <c r="E151">
        <v>1798.1</v>
      </c>
      <c r="F151" t="s">
        <v>47</v>
      </c>
      <c r="H151">
        <v>537</v>
      </c>
      <c r="I151">
        <v>605</v>
      </c>
      <c r="J151">
        <v>-68</v>
      </c>
      <c r="K151">
        <v>537</v>
      </c>
    </row>
    <row r="152" spans="3:5" x14ac:dyDescent="0.25">
      <c r="C152">
        <v>-3.199999999999818</v>
      </c>
      <c r="E152">
        <v>-3.199999999999818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2026-06-19T07:30:10Z</dcterms:created>
  <dcterms:modified xsi:type="dcterms:W3CDTF">2026-06-19T07:30:10Z</dcterms:modified>
</cp:coreProperties>
</file>