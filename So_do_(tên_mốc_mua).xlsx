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9C4"/>
        <bgColor rgb="00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3" max="3"/>
    <col width="12" customWidth="1" min="5" max="5"/>
    <col width="10" customWidth="1" min="8" max="8"/>
    <col width="10" customWidth="1" min="9" max="9"/>
    <col width="18" customWidth="1" min="12" max="12"/>
  </cols>
  <sheetData>
    <row r="1">
      <c r="A1" t="inlineStr">
        <is>
          <t>SỔ ĐO THỦY CHUẨN HẠNG 4</t>
        </is>
      </c>
    </row>
    <row r="3">
      <c r="A3" t="inlineStr">
        <is>
          <t>Đo từ:</t>
        </is>
      </c>
      <c r="C3" t="inlineStr">
        <is>
          <t>(tên mốc mua)</t>
        </is>
      </c>
      <c r="H3" t="inlineStr">
        <is>
          <t>Đến:</t>
        </is>
      </c>
      <c r="J3" t="inlineStr">
        <is>
          <t>(mốc GPSIV- gần nhất)</t>
        </is>
      </c>
    </row>
    <row r="4">
      <c r="A4" t="inlineStr">
        <is>
          <t>Bắt đầu lúc:</t>
        </is>
      </c>
      <c r="C4" t="inlineStr"/>
      <c r="H4" t="inlineStr">
        <is>
          <t>Ngày đo:</t>
        </is>
      </c>
      <c r="J4" t="inlineStr">
        <is>
          <t>(theo nhật ký)</t>
        </is>
      </c>
    </row>
    <row r="5">
      <c r="A5" t="inlineStr">
        <is>
          <t>Kết thúc lúc:</t>
        </is>
      </c>
      <c r="C5" t="inlineStr"/>
      <c r="H5" t="inlineStr">
        <is>
          <t>Người đo:</t>
        </is>
      </c>
      <c r="J5" t="inlineStr"/>
    </row>
    <row r="6">
      <c r="A6" t="inlineStr">
        <is>
          <t>Thời tiết:</t>
        </is>
      </c>
      <c r="C6" t="inlineStr"/>
      <c r="H6" t="inlineStr">
        <is>
          <t>Người ghi:</t>
        </is>
      </c>
      <c r="J6" t="inlineStr"/>
    </row>
    <row r="7">
      <c r="H7" t="inlineStr">
        <is>
          <t>Người kiểm tra:</t>
        </is>
      </c>
      <c r="J7" t="inlineStr"/>
    </row>
    <row r="9">
      <c r="A9" t="inlineStr">
        <is>
          <t>Số</t>
        </is>
      </c>
      <c r="B9" t="inlineStr">
        <is>
          <t>Mia</t>
        </is>
      </c>
      <c r="C9" t="inlineStr">
        <is>
          <t>Chỉ trên</t>
        </is>
      </c>
      <c r="D9" t="inlineStr">
        <is>
          <t>Mia</t>
        </is>
      </c>
      <c r="E9" t="inlineStr">
        <is>
          <t>Chỉ trên</t>
        </is>
      </c>
      <c r="F9" t="inlineStr">
        <is>
          <t>Ký</t>
        </is>
      </c>
      <c r="H9" t="inlineStr">
        <is>
          <t>Số đọc trên mia</t>
        </is>
      </c>
      <c r="J9" t="inlineStr">
        <is>
          <t>K</t>
        </is>
      </c>
      <c r="K9" t="inlineStr">
        <is>
          <t>Chênh</t>
        </is>
      </c>
    </row>
    <row r="10">
      <c r="A10" t="inlineStr">
        <is>
          <t>trạm</t>
        </is>
      </c>
      <c r="B10" t="inlineStr">
        <is>
          <t>sau</t>
        </is>
      </c>
      <c r="C10" t="inlineStr">
        <is>
          <t>Chỉ dưới</t>
        </is>
      </c>
      <c r="D10" t="inlineStr">
        <is>
          <t>trước</t>
        </is>
      </c>
      <c r="E10" t="inlineStr">
        <is>
          <t>Chỉ dưới</t>
        </is>
      </c>
      <c r="F10" t="inlineStr">
        <is>
          <t>hiệu</t>
        </is>
      </c>
      <c r="H10" t="inlineStr">
        <is>
          <t>Mặt</t>
        </is>
      </c>
      <c r="I10" t="inlineStr">
        <is>
          <t>Mặt</t>
        </is>
      </c>
      <c r="J10" t="inlineStr">
        <is>
          <t>+ đen</t>
        </is>
      </c>
      <c r="K10" t="inlineStr">
        <is>
          <t>cao</t>
        </is>
      </c>
      <c r="L10" t="inlineStr">
        <is>
          <t>Ghi</t>
        </is>
      </c>
    </row>
    <row r="11">
      <c r="A11" t="inlineStr">
        <is>
          <t>đo</t>
        </is>
      </c>
      <c r="B11" t="inlineStr">
        <is>
          <t>K/C sau</t>
        </is>
      </c>
      <c r="D11" t="inlineStr">
        <is>
          <t>K/C trước</t>
        </is>
      </c>
      <c r="F11" t="inlineStr">
        <is>
          <t>mia</t>
        </is>
      </c>
      <c r="H11" t="inlineStr">
        <is>
          <t>đen</t>
        </is>
      </c>
      <c r="I11" t="inlineStr">
        <is>
          <t>đỏ</t>
        </is>
      </c>
      <c r="J11" t="inlineStr">
        <is>
          <t>- đỏ</t>
        </is>
      </c>
      <c r="K11" t="inlineStr">
        <is>
          <t>trung</t>
        </is>
      </c>
      <c r="L11" t="inlineStr">
        <is>
          <t>chú</t>
        </is>
      </c>
    </row>
    <row r="12">
      <c r="B12" t="inlineStr">
        <is>
          <t>ΔS</t>
        </is>
      </c>
      <c r="D12" t="inlineStr">
        <is>
          <t>ΣΔS</t>
        </is>
      </c>
      <c r="K12" t="inlineStr">
        <is>
          <t>bình</t>
        </is>
      </c>
      <c r="N12" t="inlineStr">
        <is>
          <t>Hằng số mia K</t>
        </is>
      </c>
    </row>
    <row r="13">
      <c r="A13" t="n">
        <v>1</v>
      </c>
      <c r="C13" s="1" t="n">
        <v>1979</v>
      </c>
      <c r="E13" s="1" t="n">
        <v>1995</v>
      </c>
      <c r="F13" t="inlineStr">
        <is>
          <t>S</t>
        </is>
      </c>
      <c r="H13" s="1" t="n">
        <v>1591</v>
      </c>
      <c r="I13" s="1" t="n">
        <v>6166</v>
      </c>
      <c r="J13" t="n">
        <v>0</v>
      </c>
      <c r="L13" t="inlineStr">
        <is>
          <t>K1</t>
        </is>
      </c>
      <c r="N13" t="n">
        <v>4575</v>
      </c>
    </row>
    <row r="14">
      <c r="C14" s="1" t="n">
        <v>1199.4</v>
      </c>
      <c r="E14" s="1" t="n">
        <v>1209.9</v>
      </c>
      <c r="F14" t="inlineStr">
        <is>
          <t>T</t>
        </is>
      </c>
      <c r="H14" s="1" t="n">
        <v>1602</v>
      </c>
      <c r="I14" s="1" t="n">
        <v>6077</v>
      </c>
      <c r="J14" t="n">
        <v>0</v>
      </c>
      <c r="L14" t="inlineStr">
        <is>
          <t>K2</t>
        </is>
      </c>
      <c r="N14" t="n">
        <v>4475</v>
      </c>
    </row>
    <row r="15">
      <c r="C15" t="n">
        <v>77.95999999999999</v>
      </c>
      <c r="E15" t="n">
        <v>78.50999999999999</v>
      </c>
      <c r="F15" t="inlineStr">
        <is>
          <t>S-T</t>
        </is>
      </c>
      <c r="H15" t="n">
        <v>-11</v>
      </c>
      <c r="I15" t="n">
        <v>89</v>
      </c>
      <c r="J15" t="n">
        <v>0</v>
      </c>
      <c r="K15" t="n">
        <v>-10</v>
      </c>
      <c r="N15" t="n">
        <v>100</v>
      </c>
    </row>
    <row r="16">
      <c r="C16" t="n">
        <v>-0.55</v>
      </c>
      <c r="E16" t="n">
        <v>-0.55</v>
      </c>
    </row>
    <row r="17">
      <c r="A17" t="n">
        <v>2</v>
      </c>
      <c r="C17" s="1" t="n">
        <v>2029</v>
      </c>
      <c r="E17" s="1" t="n">
        <v>1971</v>
      </c>
      <c r="F17" t="inlineStr">
        <is>
          <t>S</t>
        </is>
      </c>
      <c r="H17" s="1" t="n">
        <v>1635</v>
      </c>
      <c r="I17" s="1" t="n">
        <v>6012</v>
      </c>
      <c r="J17" t="n">
        <v>-2</v>
      </c>
      <c r="L17" t="inlineStr">
        <is>
          <t>K2</t>
        </is>
      </c>
      <c r="N17" t="n">
        <v>4475</v>
      </c>
    </row>
    <row r="18">
      <c r="C18" s="1" t="n">
        <v>1239.5</v>
      </c>
      <c r="E18" s="1" t="n">
        <v>1200.8</v>
      </c>
      <c r="F18" t="inlineStr">
        <is>
          <t>T</t>
        </is>
      </c>
      <c r="H18" s="1" t="n">
        <v>1586</v>
      </c>
      <c r="I18" s="1" t="n">
        <v>6262</v>
      </c>
      <c r="J18" t="n">
        <v>-1</v>
      </c>
      <c r="L18" t="inlineStr">
        <is>
          <t>K1</t>
        </is>
      </c>
      <c r="N18" t="n">
        <v>4575</v>
      </c>
    </row>
    <row r="19">
      <c r="C19" t="n">
        <v>78.95</v>
      </c>
      <c r="E19" t="n">
        <v>77.02000000000001</v>
      </c>
      <c r="F19" t="inlineStr">
        <is>
          <t>S-T</t>
        </is>
      </c>
      <c r="H19" t="n">
        <v>49</v>
      </c>
      <c r="I19" t="n">
        <v>-250</v>
      </c>
      <c r="J19" t="n">
        <v>-1</v>
      </c>
      <c r="K19" t="n">
        <v>50</v>
      </c>
      <c r="N19" t="n">
        <v>100</v>
      </c>
    </row>
    <row r="20">
      <c r="C20" t="n">
        <v>1.93</v>
      </c>
      <c r="E20">
        <f>E16+C20</f>
        <v/>
      </c>
    </row>
    <row r="21">
      <c r="A21" t="n">
        <v>3</v>
      </c>
      <c r="C21" s="1" t="n">
        <v>1963</v>
      </c>
      <c r="E21" s="1" t="n">
        <v>1926</v>
      </c>
      <c r="F21" t="inlineStr">
        <is>
          <t>S</t>
        </is>
      </c>
      <c r="H21" s="1" t="n">
        <v>1578</v>
      </c>
      <c r="I21" s="1" t="n">
        <v>6153</v>
      </c>
      <c r="J21" t="n">
        <v>0</v>
      </c>
      <c r="L21" t="inlineStr">
        <is>
          <t>K1</t>
        </is>
      </c>
      <c r="N21" t="n">
        <v>4575</v>
      </c>
    </row>
    <row r="22">
      <c r="C22" s="1" t="n">
        <v>1193.3</v>
      </c>
      <c r="E22" s="1" t="n">
        <v>1134.3</v>
      </c>
      <c r="F22" t="inlineStr">
        <is>
          <t>T</t>
        </is>
      </c>
      <c r="H22" s="1" t="n">
        <v>1532</v>
      </c>
      <c r="I22" s="1" t="n">
        <v>6006</v>
      </c>
      <c r="J22" t="n">
        <v>1</v>
      </c>
      <c r="L22" t="inlineStr">
        <is>
          <t>K2</t>
        </is>
      </c>
      <c r="N22" t="n">
        <v>4475</v>
      </c>
    </row>
    <row r="23">
      <c r="C23" t="n">
        <v>76.97</v>
      </c>
      <c r="E23" t="n">
        <v>79.17</v>
      </c>
      <c r="F23" t="inlineStr">
        <is>
          <t>S-T</t>
        </is>
      </c>
      <c r="H23" t="n">
        <v>46</v>
      </c>
      <c r="I23" t="n">
        <v>147</v>
      </c>
      <c r="J23" t="n">
        <v>-1</v>
      </c>
      <c r="K23" t="n">
        <v>43</v>
      </c>
      <c r="N23" t="n">
        <v>100</v>
      </c>
    </row>
    <row r="24">
      <c r="C24" t="n">
        <v>-2.2</v>
      </c>
      <c r="E24">
        <f>E20+C24</f>
        <v/>
      </c>
    </row>
    <row r="25">
      <c r="A25" t="n">
        <v>4</v>
      </c>
      <c r="C25" s="1" t="n">
        <v>1945</v>
      </c>
      <c r="E25" s="1" t="n">
        <v>1962</v>
      </c>
      <c r="F25" t="inlineStr">
        <is>
          <t>S</t>
        </is>
      </c>
      <c r="H25" s="1" t="n">
        <v>1552</v>
      </c>
      <c r="I25" s="1" t="n">
        <v>6027</v>
      </c>
      <c r="J25" t="n">
        <v>0</v>
      </c>
      <c r="L25" t="inlineStr">
        <is>
          <t>K2</t>
        </is>
      </c>
      <c r="N25" t="n">
        <v>4475</v>
      </c>
    </row>
    <row r="26">
      <c r="C26" s="1" t="n">
        <v>1158</v>
      </c>
      <c r="E26" s="1" t="n">
        <v>1188.4</v>
      </c>
      <c r="F26" t="inlineStr">
        <is>
          <t>T</t>
        </is>
      </c>
      <c r="H26" s="1" t="n">
        <v>1577</v>
      </c>
      <c r="I26" s="1" t="n">
        <v>6152</v>
      </c>
      <c r="J26" t="n">
        <v>0</v>
      </c>
      <c r="L26" t="inlineStr">
        <is>
          <t>K1</t>
        </is>
      </c>
      <c r="N26" t="n">
        <v>4575</v>
      </c>
    </row>
    <row r="27">
      <c r="C27" t="n">
        <v>78.7</v>
      </c>
      <c r="E27" t="n">
        <v>77.35999999999999</v>
      </c>
      <c r="F27" t="inlineStr">
        <is>
          <t>S-T</t>
        </is>
      </c>
      <c r="H27" t="n">
        <v>-25</v>
      </c>
      <c r="I27" t="n">
        <v>-125</v>
      </c>
      <c r="J27" t="n">
        <v>0</v>
      </c>
      <c r="K27" t="n">
        <v>-24</v>
      </c>
      <c r="N27" t="n">
        <v>100</v>
      </c>
    </row>
    <row r="28">
      <c r="C28" t="n">
        <v>1.34</v>
      </c>
      <c r="E28">
        <f>E24+C28</f>
        <v/>
      </c>
    </row>
    <row r="29">
      <c r="A29" t="n">
        <v>5</v>
      </c>
      <c r="C29" s="1" t="n">
        <v>1982</v>
      </c>
      <c r="E29" s="1" t="n">
        <v>1950</v>
      </c>
      <c r="F29" t="inlineStr">
        <is>
          <t>S</t>
        </is>
      </c>
      <c r="H29" s="1" t="n">
        <v>1597</v>
      </c>
      <c r="I29" s="1" t="n">
        <v>6172</v>
      </c>
      <c r="J29" t="n">
        <v>0</v>
      </c>
      <c r="L29" t="inlineStr">
        <is>
          <t>K1</t>
        </is>
      </c>
      <c r="N29" t="n">
        <v>4575</v>
      </c>
    </row>
    <row r="30">
      <c r="C30" s="1" t="n">
        <v>1209.8</v>
      </c>
      <c r="E30" s="1" t="n">
        <v>1162.4</v>
      </c>
      <c r="F30" t="inlineStr">
        <is>
          <t>T</t>
        </is>
      </c>
      <c r="H30" s="1" t="n">
        <v>1558</v>
      </c>
      <c r="I30" s="1" t="n">
        <v>6032</v>
      </c>
      <c r="J30" t="n">
        <v>1</v>
      </c>
      <c r="L30" t="inlineStr">
        <is>
          <t>K2</t>
        </is>
      </c>
      <c r="N30" t="n">
        <v>4475</v>
      </c>
    </row>
    <row r="31">
      <c r="C31" t="n">
        <v>77.22</v>
      </c>
      <c r="E31" t="n">
        <v>78.75999999999999</v>
      </c>
      <c r="F31" t="inlineStr">
        <is>
          <t>S-T</t>
        </is>
      </c>
      <c r="H31" t="n">
        <v>39</v>
      </c>
      <c r="I31" t="n">
        <v>140</v>
      </c>
      <c r="J31" t="n">
        <v>-1</v>
      </c>
      <c r="K31" t="n">
        <v>38</v>
      </c>
      <c r="N31" t="n">
        <v>100</v>
      </c>
    </row>
    <row r="32">
      <c r="C32" t="n">
        <v>-1.54</v>
      </c>
      <c r="E32">
        <f>E28+C32</f>
        <v/>
      </c>
    </row>
    <row r="33">
      <c r="A33" t="n">
        <v>6</v>
      </c>
      <c r="C33" s="1" t="n">
        <v>2063</v>
      </c>
      <c r="E33" s="1" t="n">
        <v>2010</v>
      </c>
      <c r="F33" t="inlineStr">
        <is>
          <t>S</t>
        </is>
      </c>
      <c r="H33" s="1" t="n">
        <v>1671</v>
      </c>
      <c r="I33" s="1" t="n">
        <v>6148</v>
      </c>
      <c r="J33" t="n">
        <v>-2</v>
      </c>
      <c r="L33" t="inlineStr">
        <is>
          <t>K2</t>
        </is>
      </c>
      <c r="N33" t="n">
        <v>4475</v>
      </c>
    </row>
    <row r="34">
      <c r="C34" s="1" t="n">
        <v>1278.4</v>
      </c>
      <c r="E34" s="1" t="n">
        <v>1238.9</v>
      </c>
      <c r="F34" t="inlineStr">
        <is>
          <t>T</t>
        </is>
      </c>
      <c r="H34" s="1" t="n">
        <v>1625</v>
      </c>
      <c r="I34" s="1" t="n">
        <v>6201</v>
      </c>
      <c r="J34" t="n">
        <v>-1</v>
      </c>
      <c r="L34" t="inlineStr">
        <is>
          <t>K1</t>
        </is>
      </c>
      <c r="N34" t="n">
        <v>4575</v>
      </c>
    </row>
    <row r="35">
      <c r="C35" t="n">
        <v>78.45999999999999</v>
      </c>
      <c r="E35" t="n">
        <v>77.10999999999999</v>
      </c>
      <c r="F35" t="inlineStr">
        <is>
          <t>S-T</t>
        </is>
      </c>
      <c r="H35" t="n">
        <v>46</v>
      </c>
      <c r="I35" t="n">
        <v>-53</v>
      </c>
      <c r="J35" t="n">
        <v>-1</v>
      </c>
      <c r="K35" t="n">
        <v>40</v>
      </c>
      <c r="N35" t="n">
        <v>100</v>
      </c>
    </row>
    <row r="36">
      <c r="C36" t="n">
        <v>1.35</v>
      </c>
      <c r="E36">
        <f>E32+C36</f>
        <v/>
      </c>
    </row>
    <row r="37">
      <c r="A37" t="n">
        <v>7</v>
      </c>
      <c r="C37" s="1" t="n">
        <v>1960</v>
      </c>
      <c r="E37" s="1" t="n">
        <v>1931</v>
      </c>
      <c r="F37" t="inlineStr">
        <is>
          <t>S</t>
        </is>
      </c>
      <c r="H37" s="1" t="n">
        <v>1572</v>
      </c>
      <c r="I37" s="1" t="n">
        <v>6147</v>
      </c>
      <c r="J37" t="n">
        <v>0</v>
      </c>
      <c r="L37" t="inlineStr">
        <is>
          <t>K1</t>
        </is>
      </c>
      <c r="N37" t="n">
        <v>4575</v>
      </c>
    </row>
    <row r="38">
      <c r="C38" s="1" t="n">
        <v>1183.7</v>
      </c>
      <c r="E38" s="1" t="n">
        <v>1144.2</v>
      </c>
      <c r="F38" t="inlineStr">
        <is>
          <t>T</t>
        </is>
      </c>
      <c r="H38" s="1" t="n">
        <v>1538</v>
      </c>
      <c r="I38" s="1" t="n">
        <v>6014</v>
      </c>
      <c r="J38" t="n">
        <v>-1</v>
      </c>
      <c r="L38" t="inlineStr">
        <is>
          <t>K2</t>
        </is>
      </c>
      <c r="N38" t="n">
        <v>4475</v>
      </c>
    </row>
    <row r="39">
      <c r="C39" t="n">
        <v>77.63</v>
      </c>
      <c r="E39" t="n">
        <v>78.67999999999999</v>
      </c>
      <c r="F39" t="inlineStr">
        <is>
          <t>S-T</t>
        </is>
      </c>
      <c r="H39" t="n">
        <v>34</v>
      </c>
      <c r="I39" t="n">
        <v>133</v>
      </c>
      <c r="J39" t="n">
        <v>1</v>
      </c>
      <c r="K39" t="n">
        <v>31</v>
      </c>
      <c r="N39" t="n">
        <v>100</v>
      </c>
    </row>
    <row r="40">
      <c r="C40" t="n">
        <v>-1.05</v>
      </c>
      <c r="E40">
        <f>E36+C40</f>
        <v/>
      </c>
    </row>
    <row r="41">
      <c r="A41" t="n">
        <v>8</v>
      </c>
      <c r="C41" s="1" t="n">
        <v>2094</v>
      </c>
      <c r="E41" s="1" t="n">
        <v>2034</v>
      </c>
      <c r="F41" t="inlineStr">
        <is>
          <t>S</t>
        </is>
      </c>
      <c r="H41" s="1" t="n">
        <v>1700</v>
      </c>
      <c r="I41" s="1" t="n">
        <v>6175</v>
      </c>
      <c r="J41" t="n">
        <v>0</v>
      </c>
      <c r="L41" t="inlineStr">
        <is>
          <t>K2</t>
        </is>
      </c>
      <c r="N41" t="n">
        <v>4475</v>
      </c>
    </row>
    <row r="42">
      <c r="C42" s="1" t="n">
        <v>1304.5</v>
      </c>
      <c r="E42" s="1" t="n">
        <v>1266.2</v>
      </c>
      <c r="F42" t="inlineStr">
        <is>
          <t>T</t>
        </is>
      </c>
      <c r="H42" s="1" t="n">
        <v>1651</v>
      </c>
      <c r="I42" s="1" t="n">
        <v>6226</v>
      </c>
      <c r="J42" t="n">
        <v>0</v>
      </c>
      <c r="L42" t="inlineStr">
        <is>
          <t>K1</t>
        </is>
      </c>
      <c r="N42" t="n">
        <v>4575</v>
      </c>
    </row>
    <row r="43">
      <c r="C43" t="n">
        <v>78.95</v>
      </c>
      <c r="E43" t="n">
        <v>76.78</v>
      </c>
      <c r="F43" t="inlineStr">
        <is>
          <t>S-T</t>
        </is>
      </c>
      <c r="H43" t="n">
        <v>49</v>
      </c>
      <c r="I43" t="n">
        <v>-51</v>
      </c>
      <c r="J43" t="n">
        <v>0</v>
      </c>
      <c r="K43" t="n">
        <v>42</v>
      </c>
      <c r="N43" t="n">
        <v>100</v>
      </c>
    </row>
    <row r="44">
      <c r="C44" t="n">
        <v>2.17</v>
      </c>
      <c r="E44">
        <f>E40+C44</f>
        <v/>
      </c>
    </row>
    <row r="45">
      <c r="A45" t="n">
        <v>9</v>
      </c>
      <c r="C45" s="1" t="n">
        <v>2071</v>
      </c>
      <c r="E45" s="1" t="n">
        <v>2050</v>
      </c>
      <c r="F45" t="inlineStr">
        <is>
          <t>S</t>
        </is>
      </c>
      <c r="H45" s="1" t="n">
        <v>1687</v>
      </c>
      <c r="I45" s="1" t="n">
        <v>6261</v>
      </c>
      <c r="J45" t="n">
        <v>1</v>
      </c>
      <c r="L45" t="inlineStr">
        <is>
          <t>K1</t>
        </is>
      </c>
      <c r="N45" t="n">
        <v>4575</v>
      </c>
    </row>
    <row r="46">
      <c r="C46" s="1" t="n">
        <v>1303.8</v>
      </c>
      <c r="E46" s="1" t="n">
        <v>1262.4</v>
      </c>
      <c r="F46" t="inlineStr">
        <is>
          <t>T</t>
        </is>
      </c>
      <c r="H46" s="1" t="n">
        <v>1657</v>
      </c>
      <c r="I46" s="1" t="n">
        <v>6133</v>
      </c>
      <c r="J46" t="n">
        <v>-1</v>
      </c>
      <c r="L46" t="inlineStr">
        <is>
          <t>K2</t>
        </is>
      </c>
      <c r="N46" t="n">
        <v>4475</v>
      </c>
    </row>
    <row r="47">
      <c r="C47" t="n">
        <v>76.72</v>
      </c>
      <c r="E47" t="n">
        <v>78.75999999999999</v>
      </c>
      <c r="F47" t="inlineStr">
        <is>
          <t>S-T</t>
        </is>
      </c>
      <c r="H47" t="n">
        <v>30</v>
      </c>
      <c r="I47" t="n">
        <v>128</v>
      </c>
      <c r="J47" t="n">
        <v>2</v>
      </c>
      <c r="K47" t="n">
        <v>28</v>
      </c>
      <c r="N47" t="n">
        <v>100</v>
      </c>
    </row>
    <row r="48">
      <c r="C48" t="n">
        <v>-2.04</v>
      </c>
      <c r="E48">
        <f>E44+C48</f>
        <v/>
      </c>
    </row>
    <row r="49">
      <c r="A49" t="n">
        <v>10</v>
      </c>
      <c r="C49" s="1" t="n">
        <v>2043</v>
      </c>
      <c r="E49" s="1" t="n">
        <v>1984</v>
      </c>
      <c r="F49" t="inlineStr">
        <is>
          <t>S</t>
        </is>
      </c>
      <c r="H49" s="1" t="n">
        <v>1649</v>
      </c>
      <c r="I49" s="1" t="n">
        <v>6124</v>
      </c>
      <c r="J49" t="n">
        <v>0</v>
      </c>
      <c r="L49" t="inlineStr">
        <is>
          <t>K2</t>
        </is>
      </c>
      <c r="N49" t="n">
        <v>4475</v>
      </c>
    </row>
    <row r="50">
      <c r="C50" s="1" t="n">
        <v>1251</v>
      </c>
      <c r="E50" s="1" t="n">
        <v>1210.4</v>
      </c>
      <c r="F50" t="inlineStr">
        <is>
          <t>T</t>
        </is>
      </c>
      <c r="H50" s="1" t="n">
        <v>1599</v>
      </c>
      <c r="I50" s="1" t="n">
        <v>6174</v>
      </c>
      <c r="J50" t="n">
        <v>0</v>
      </c>
      <c r="L50" t="inlineStr">
        <is>
          <t>K1</t>
        </is>
      </c>
      <c r="N50" t="n">
        <v>4575</v>
      </c>
    </row>
    <row r="51">
      <c r="C51" t="n">
        <v>79.2</v>
      </c>
      <c r="E51" t="n">
        <v>77.35999999999999</v>
      </c>
      <c r="F51" t="inlineStr">
        <is>
          <t>S-T</t>
        </is>
      </c>
      <c r="H51" t="n">
        <v>50</v>
      </c>
      <c r="I51" t="n">
        <v>-50</v>
      </c>
      <c r="J51" t="n">
        <v>0</v>
      </c>
      <c r="K51" t="n">
        <v>42</v>
      </c>
      <c r="N51" t="n">
        <v>100</v>
      </c>
    </row>
    <row r="52">
      <c r="C52" t="n">
        <v>1.84</v>
      </c>
      <c r="E52">
        <f>E48+C52</f>
        <v/>
      </c>
    </row>
    <row r="53">
      <c r="A53" t="n">
        <v>11</v>
      </c>
      <c r="C53" s="1" t="n">
        <v>1939</v>
      </c>
      <c r="E53" s="1" t="n">
        <v>1956</v>
      </c>
      <c r="F53" t="inlineStr">
        <is>
          <t>S</t>
        </is>
      </c>
      <c r="H53" s="1" t="n">
        <v>1552</v>
      </c>
      <c r="I53" s="1" t="n">
        <v>6126</v>
      </c>
      <c r="J53" t="n">
        <v>1</v>
      </c>
      <c r="L53" t="inlineStr">
        <is>
          <t>K1</t>
        </is>
      </c>
      <c r="N53" t="n">
        <v>4575</v>
      </c>
    </row>
    <row r="54">
      <c r="C54" s="1" t="n">
        <v>1161.9</v>
      </c>
      <c r="E54" s="1" t="n">
        <v>1167.6</v>
      </c>
      <c r="F54" t="inlineStr">
        <is>
          <t>T</t>
        </is>
      </c>
      <c r="H54" s="1" t="n">
        <v>1563</v>
      </c>
      <c r="I54" s="1" t="n">
        <v>6039</v>
      </c>
      <c r="J54" t="n">
        <v>-1</v>
      </c>
      <c r="L54" t="inlineStr">
        <is>
          <t>K2</t>
        </is>
      </c>
      <c r="N54" t="n">
        <v>4475</v>
      </c>
    </row>
    <row r="55">
      <c r="C55" t="n">
        <v>77.70999999999999</v>
      </c>
      <c r="E55" t="n">
        <v>78.84</v>
      </c>
      <c r="F55" t="inlineStr">
        <is>
          <t>S-T</t>
        </is>
      </c>
      <c r="H55" t="n">
        <v>-11</v>
      </c>
      <c r="I55" t="n">
        <v>87</v>
      </c>
      <c r="J55" t="n">
        <v>2</v>
      </c>
      <c r="K55" t="n">
        <v>-10</v>
      </c>
      <c r="N55" t="n">
        <v>100</v>
      </c>
    </row>
    <row r="56">
      <c r="C56" t="n">
        <v>-1.13</v>
      </c>
      <c r="E56">
        <f>E52+C56</f>
        <v/>
      </c>
    </row>
    <row r="57">
      <c r="A57" t="n">
        <v>12</v>
      </c>
      <c r="C57" s="1" t="n">
        <v>2009</v>
      </c>
      <c r="E57" s="1" t="n">
        <v>2048</v>
      </c>
      <c r="F57" t="inlineStr">
        <is>
          <t>S</t>
        </is>
      </c>
      <c r="H57" s="1" t="n">
        <v>1624</v>
      </c>
      <c r="I57" s="1" t="n">
        <v>6099</v>
      </c>
      <c r="J57" t="n">
        <v>0</v>
      </c>
      <c r="L57" t="inlineStr">
        <is>
          <t>K2</t>
        </is>
      </c>
      <c r="N57" t="n">
        <v>4475</v>
      </c>
    </row>
    <row r="58">
      <c r="C58" s="1" t="n">
        <v>1233.5</v>
      </c>
      <c r="E58" s="1" t="n">
        <v>1256.3</v>
      </c>
      <c r="F58" t="inlineStr">
        <is>
          <t>T</t>
        </is>
      </c>
      <c r="H58" s="1" t="n">
        <v>1654</v>
      </c>
      <c r="I58" s="1" t="n">
        <v>6228</v>
      </c>
      <c r="J58" t="n">
        <v>1</v>
      </c>
      <c r="L58" t="inlineStr">
        <is>
          <t>K1</t>
        </is>
      </c>
      <c r="N58" t="n">
        <v>4575</v>
      </c>
    </row>
    <row r="59">
      <c r="C59" t="n">
        <v>77.55</v>
      </c>
      <c r="E59" t="n">
        <v>79.17</v>
      </c>
      <c r="F59" t="inlineStr">
        <is>
          <t>S-T</t>
        </is>
      </c>
      <c r="H59" t="n">
        <v>-30</v>
      </c>
      <c r="I59" t="n">
        <v>-129</v>
      </c>
      <c r="J59" t="n">
        <v>-1</v>
      </c>
      <c r="K59" t="n">
        <v>-25</v>
      </c>
      <c r="N59" t="n">
        <v>100</v>
      </c>
    </row>
    <row r="60">
      <c r="C60" t="n">
        <v>-1.62</v>
      </c>
      <c r="E60">
        <f>E56+C60</f>
        <v/>
      </c>
    </row>
    <row r="61">
      <c r="A61" t="n">
        <v>13</v>
      </c>
      <c r="C61" s="1" t="n">
        <v>1994</v>
      </c>
      <c r="E61" s="1" t="n">
        <v>1952</v>
      </c>
      <c r="F61" t="inlineStr">
        <is>
          <t>S</t>
        </is>
      </c>
      <c r="H61" s="1" t="n">
        <v>1598</v>
      </c>
      <c r="I61" s="1" t="n">
        <v>6173</v>
      </c>
      <c r="J61" t="n">
        <v>0</v>
      </c>
      <c r="L61" t="inlineStr">
        <is>
          <t>K1</t>
        </is>
      </c>
      <c r="N61" t="n">
        <v>4575</v>
      </c>
    </row>
    <row r="62">
      <c r="C62" s="1" t="n">
        <v>1202.8</v>
      </c>
      <c r="E62" s="1" t="n">
        <v>1172.7</v>
      </c>
      <c r="F62" t="inlineStr">
        <is>
          <t>T</t>
        </is>
      </c>
      <c r="H62" s="1" t="n">
        <v>1564</v>
      </c>
      <c r="I62" s="1" t="n">
        <v>6040</v>
      </c>
      <c r="J62" t="n">
        <v>-1</v>
      </c>
      <c r="L62" t="inlineStr">
        <is>
          <t>K2</t>
        </is>
      </c>
      <c r="N62" t="n">
        <v>4475</v>
      </c>
    </row>
    <row r="63">
      <c r="C63" t="n">
        <v>79.12</v>
      </c>
      <c r="E63" t="n">
        <v>77.92999999999999</v>
      </c>
      <c r="F63" t="inlineStr">
        <is>
          <t>S-T</t>
        </is>
      </c>
      <c r="H63" t="n">
        <v>34</v>
      </c>
      <c r="I63" t="n">
        <v>133</v>
      </c>
      <c r="J63" t="n">
        <v>1</v>
      </c>
      <c r="K63" t="n">
        <v>29</v>
      </c>
      <c r="N63" t="n">
        <v>100</v>
      </c>
    </row>
    <row r="64">
      <c r="C64" t="n">
        <v>1.19</v>
      </c>
      <c r="E64">
        <f>E60+C64</f>
        <v/>
      </c>
    </row>
    <row r="65">
      <c r="A65" t="n">
        <v>14</v>
      </c>
      <c r="C65" s="1" t="n">
        <v>1985</v>
      </c>
      <c r="E65" s="1" t="n">
        <v>1959</v>
      </c>
      <c r="F65" t="inlineStr">
        <is>
          <t>S</t>
        </is>
      </c>
      <c r="H65" s="1" t="n">
        <v>1598</v>
      </c>
      <c r="I65" s="1" t="n">
        <v>6075</v>
      </c>
      <c r="J65" t="n">
        <v>-2</v>
      </c>
      <c r="L65" t="inlineStr">
        <is>
          <t>K2</t>
        </is>
      </c>
      <c r="N65" t="n">
        <v>4475</v>
      </c>
    </row>
    <row r="66">
      <c r="C66" s="1" t="n">
        <v>1211.2</v>
      </c>
      <c r="E66" s="1" t="n">
        <v>1164.8</v>
      </c>
      <c r="F66" t="inlineStr">
        <is>
          <t>T</t>
        </is>
      </c>
      <c r="H66" s="1" t="n">
        <v>1563</v>
      </c>
      <c r="I66" s="1" t="n">
        <v>6138</v>
      </c>
      <c r="J66" t="n">
        <v>0</v>
      </c>
      <c r="L66" t="inlineStr">
        <is>
          <t>K1</t>
        </is>
      </c>
      <c r="N66" t="n">
        <v>4575</v>
      </c>
    </row>
    <row r="67">
      <c r="C67" t="n">
        <v>77.38</v>
      </c>
      <c r="E67" t="n">
        <v>79.42</v>
      </c>
      <c r="F67" t="inlineStr">
        <is>
          <t>S-T</t>
        </is>
      </c>
      <c r="H67" t="n">
        <v>35</v>
      </c>
      <c r="I67" t="n">
        <v>-63</v>
      </c>
      <c r="J67" t="n">
        <v>-2</v>
      </c>
      <c r="K67" t="n">
        <v>33</v>
      </c>
      <c r="N67" t="n">
        <v>100</v>
      </c>
    </row>
    <row r="68">
      <c r="C68" t="n">
        <v>-2.04</v>
      </c>
      <c r="E68">
        <f>E64+C68</f>
        <v/>
      </c>
    </row>
    <row r="69">
      <c r="A69" t="n">
        <v>15</v>
      </c>
      <c r="C69" s="1" t="n">
        <v>1998</v>
      </c>
      <c r="E69" s="1" t="n">
        <v>1938</v>
      </c>
      <c r="F69" t="inlineStr">
        <is>
          <t>S</t>
        </is>
      </c>
      <c r="H69" s="1" t="n">
        <v>1604</v>
      </c>
      <c r="I69" s="1" t="n">
        <v>6178</v>
      </c>
      <c r="J69" t="n">
        <v>1</v>
      </c>
      <c r="L69" t="inlineStr">
        <is>
          <t>K1</t>
        </is>
      </c>
      <c r="N69" t="n">
        <v>4575</v>
      </c>
    </row>
    <row r="70">
      <c r="C70" s="1" t="n">
        <v>1211</v>
      </c>
      <c r="E70" s="1" t="n">
        <v>1161.1</v>
      </c>
      <c r="F70" t="inlineStr">
        <is>
          <t>T</t>
        </is>
      </c>
      <c r="H70" s="1" t="n">
        <v>1552</v>
      </c>
      <c r="I70" s="1" t="n">
        <v>6028</v>
      </c>
      <c r="J70" t="n">
        <v>-1</v>
      </c>
      <c r="L70" t="inlineStr">
        <is>
          <t>K2</t>
        </is>
      </c>
      <c r="N70" t="n">
        <v>4475</v>
      </c>
    </row>
    <row r="71">
      <c r="C71" t="n">
        <v>78.7</v>
      </c>
      <c r="E71" t="n">
        <v>77.69000000000001</v>
      </c>
      <c r="F71" t="inlineStr">
        <is>
          <t>S-T</t>
        </is>
      </c>
      <c r="H71" t="n">
        <v>52</v>
      </c>
      <c r="I71" t="n">
        <v>150</v>
      </c>
      <c r="J71" t="n">
        <v>2</v>
      </c>
      <c r="K71" t="n">
        <v>45</v>
      </c>
      <c r="N71" t="n">
        <v>100</v>
      </c>
    </row>
    <row r="72">
      <c r="C72" t="n">
        <v>1.01</v>
      </c>
      <c r="E72">
        <f>E68+C72</f>
        <v/>
      </c>
    </row>
    <row r="73">
      <c r="A73" t="n">
        <v>16</v>
      </c>
      <c r="C73" s="1" t="n">
        <v>2011</v>
      </c>
      <c r="E73" s="1" t="n">
        <v>1944</v>
      </c>
      <c r="F73" t="inlineStr">
        <is>
          <t>S</t>
        </is>
      </c>
      <c r="H73" s="1" t="n">
        <v>1614</v>
      </c>
      <c r="I73" s="1" t="n">
        <v>6088</v>
      </c>
      <c r="J73" t="n">
        <v>1</v>
      </c>
      <c r="L73" t="inlineStr">
        <is>
          <t>K2</t>
        </is>
      </c>
      <c r="N73" t="n">
        <v>4475</v>
      </c>
    </row>
    <row r="74">
      <c r="C74" s="1" t="n">
        <v>1217.4</v>
      </c>
      <c r="E74" s="1" t="n">
        <v>1171.3</v>
      </c>
      <c r="F74" t="inlineStr">
        <is>
          <t>T</t>
        </is>
      </c>
      <c r="H74" s="1" t="n">
        <v>1560</v>
      </c>
      <c r="I74" s="1" t="n">
        <v>6134</v>
      </c>
      <c r="J74" t="n">
        <v>1</v>
      </c>
      <c r="L74" t="inlineStr">
        <is>
          <t>K1</t>
        </is>
      </c>
      <c r="N74" t="n">
        <v>4575</v>
      </c>
    </row>
    <row r="75">
      <c r="C75" t="n">
        <v>79.35999999999999</v>
      </c>
      <c r="E75" t="n">
        <v>77.27000000000001</v>
      </c>
      <c r="F75" t="inlineStr">
        <is>
          <t>S-T</t>
        </is>
      </c>
      <c r="H75" t="n">
        <v>54</v>
      </c>
      <c r="I75" t="n">
        <v>-46</v>
      </c>
      <c r="J75" t="n">
        <v>0</v>
      </c>
      <c r="K75" t="n">
        <v>46</v>
      </c>
      <c r="N75" t="n">
        <v>100</v>
      </c>
    </row>
    <row r="76">
      <c r="C76" t="n">
        <v>2.09</v>
      </c>
      <c r="E76">
        <f>E72+C76</f>
        <v/>
      </c>
    </row>
    <row r="77">
      <c r="A77" t="n">
        <v>17</v>
      </c>
      <c r="C77" s="1" t="n">
        <v>1983</v>
      </c>
      <c r="E77" s="1" t="n">
        <v>1963</v>
      </c>
      <c r="F77" t="inlineStr">
        <is>
          <t>S</t>
        </is>
      </c>
      <c r="H77" s="1" t="n">
        <v>1598</v>
      </c>
      <c r="I77" s="1" t="n">
        <v>6173</v>
      </c>
      <c r="J77" t="n">
        <v>0</v>
      </c>
      <c r="L77" t="inlineStr">
        <is>
          <t>K1</t>
        </is>
      </c>
      <c r="N77" t="n">
        <v>4575</v>
      </c>
    </row>
    <row r="78">
      <c r="C78" s="1" t="n">
        <v>1210</v>
      </c>
      <c r="E78" s="1" t="n">
        <v>1168.8</v>
      </c>
      <c r="F78" t="inlineStr">
        <is>
          <t>T</t>
        </is>
      </c>
      <c r="H78" s="1" t="n">
        <v>1567</v>
      </c>
      <c r="I78" s="1" t="n">
        <v>6040</v>
      </c>
      <c r="J78" t="n">
        <v>2</v>
      </c>
      <c r="L78" t="inlineStr">
        <is>
          <t>K2</t>
        </is>
      </c>
      <c r="N78" t="n">
        <v>4475</v>
      </c>
    </row>
    <row r="79">
      <c r="C79" t="n">
        <v>77.3</v>
      </c>
      <c r="E79" t="n">
        <v>79.42</v>
      </c>
      <c r="F79" t="inlineStr">
        <is>
          <t>S-T</t>
        </is>
      </c>
      <c r="H79" t="n">
        <v>31</v>
      </c>
      <c r="I79" t="n">
        <v>133</v>
      </c>
      <c r="J79" t="n">
        <v>-2</v>
      </c>
      <c r="K79" t="n">
        <v>30</v>
      </c>
      <c r="N79" t="n">
        <v>100</v>
      </c>
    </row>
    <row r="80">
      <c r="C80" t="n">
        <v>-2.12</v>
      </c>
      <c r="E80">
        <f>E76+C80</f>
        <v/>
      </c>
    </row>
    <row r="81">
      <c r="A81" t="n">
        <v>18</v>
      </c>
      <c r="C81" s="1" t="n">
        <v>1941</v>
      </c>
      <c r="E81" s="1" t="n">
        <v>1905</v>
      </c>
      <c r="F81" t="inlineStr">
        <is>
          <t>S</t>
        </is>
      </c>
      <c r="H81" s="1" t="n">
        <v>1551</v>
      </c>
      <c r="I81" s="1" t="n">
        <v>6027</v>
      </c>
      <c r="J81" t="n">
        <v>-1</v>
      </c>
      <c r="L81" t="inlineStr">
        <is>
          <t>K2</t>
        </is>
      </c>
      <c r="N81" t="n">
        <v>4475</v>
      </c>
    </row>
    <row r="82">
      <c r="C82" s="1" t="n">
        <v>1156.4</v>
      </c>
      <c r="E82" s="1" t="n">
        <v>1132.3</v>
      </c>
      <c r="F82" t="inlineStr">
        <is>
          <t>T</t>
        </is>
      </c>
      <c r="H82" s="1" t="n">
        <v>1521</v>
      </c>
      <c r="I82" s="1" t="n">
        <v>6097</v>
      </c>
      <c r="J82" t="n">
        <v>-1</v>
      </c>
      <c r="L82" t="inlineStr">
        <is>
          <t>K1</t>
        </is>
      </c>
      <c r="N82" t="n">
        <v>4575</v>
      </c>
    </row>
    <row r="83">
      <c r="C83" t="n">
        <v>78.45999999999999</v>
      </c>
      <c r="E83" t="n">
        <v>77.27000000000001</v>
      </c>
      <c r="F83" t="inlineStr">
        <is>
          <t>S-T</t>
        </is>
      </c>
      <c r="H83" t="n">
        <v>30</v>
      </c>
      <c r="I83" t="n">
        <v>-70</v>
      </c>
      <c r="J83" t="n">
        <v>0</v>
      </c>
      <c r="K83" t="n">
        <v>25</v>
      </c>
      <c r="N83" t="n">
        <v>100</v>
      </c>
    </row>
    <row r="84">
      <c r="C84" t="n">
        <v>1.19</v>
      </c>
      <c r="E84">
        <f>E80+C84</f>
        <v/>
      </c>
    </row>
    <row r="85">
      <c r="A85" t="n">
        <v>19</v>
      </c>
      <c r="C85" s="1" t="n">
        <v>1942</v>
      </c>
      <c r="E85" s="1" t="n">
        <v>1921</v>
      </c>
      <c r="F85" t="inlineStr">
        <is>
          <t>S</t>
        </is>
      </c>
      <c r="H85" s="1" t="n">
        <v>1562</v>
      </c>
      <c r="I85" s="1" t="n">
        <v>6138</v>
      </c>
      <c r="J85" t="n">
        <v>-1</v>
      </c>
      <c r="L85" t="inlineStr">
        <is>
          <t>K1</t>
        </is>
      </c>
      <c r="N85" t="n">
        <v>4575</v>
      </c>
    </row>
    <row r="86">
      <c r="C86" s="1" t="n">
        <v>1182.2</v>
      </c>
      <c r="E86" s="1" t="n">
        <v>1126</v>
      </c>
      <c r="F86" t="inlineStr">
        <is>
          <t>T</t>
        </is>
      </c>
      <c r="H86" s="1" t="n">
        <v>1523</v>
      </c>
      <c r="I86" s="1" t="n">
        <v>5999</v>
      </c>
      <c r="J86" t="n">
        <v>-1</v>
      </c>
      <c r="L86" t="inlineStr">
        <is>
          <t>K2</t>
        </is>
      </c>
      <c r="N86" t="n">
        <v>4475</v>
      </c>
    </row>
    <row r="87">
      <c r="C87" t="n">
        <v>75.97999999999999</v>
      </c>
      <c r="E87" t="n">
        <v>79.5</v>
      </c>
      <c r="F87" t="inlineStr">
        <is>
          <t>S-T</t>
        </is>
      </c>
      <c r="H87" t="n">
        <v>39</v>
      </c>
      <c r="I87" t="n">
        <v>139</v>
      </c>
      <c r="J87" t="n">
        <v>0</v>
      </c>
      <c r="K87" t="n">
        <v>38</v>
      </c>
      <c r="N87" t="n">
        <v>100</v>
      </c>
    </row>
    <row r="88">
      <c r="C88" t="n">
        <v>-3.52</v>
      </c>
      <c r="E88">
        <f>E84+C88</f>
        <v/>
      </c>
    </row>
    <row r="89">
      <c r="A89" t="n">
        <v>20</v>
      </c>
      <c r="C89" s="1" t="n">
        <v>1979</v>
      </c>
      <c r="E89" s="1" t="n">
        <v>1995</v>
      </c>
      <c r="F89" t="inlineStr">
        <is>
          <t>S</t>
        </is>
      </c>
      <c r="H89" s="1" t="n">
        <v>1591</v>
      </c>
      <c r="I89" s="1" t="n">
        <v>6166</v>
      </c>
      <c r="J89" t="n">
        <v>0</v>
      </c>
      <c r="L89" t="inlineStr">
        <is>
          <t>K1</t>
        </is>
      </c>
      <c r="N89" t="n">
        <v>4575</v>
      </c>
    </row>
    <row r="90">
      <c r="C90" s="1" t="n">
        <v>1199.4</v>
      </c>
      <c r="E90" s="1" t="n">
        <v>1209.9</v>
      </c>
      <c r="F90" t="inlineStr">
        <is>
          <t>T</t>
        </is>
      </c>
      <c r="H90" s="1" t="n">
        <v>1602</v>
      </c>
      <c r="I90" s="1" t="n">
        <v>6077</v>
      </c>
      <c r="J90" t="n">
        <v>0</v>
      </c>
      <c r="L90" t="inlineStr">
        <is>
          <t>K2</t>
        </is>
      </c>
      <c r="N90" t="n">
        <v>4475</v>
      </c>
    </row>
    <row r="91">
      <c r="C91" t="n">
        <v>77.95999999999999</v>
      </c>
      <c r="E91" t="n">
        <v>78.50999999999999</v>
      </c>
      <c r="F91" t="inlineStr">
        <is>
          <t>S-T</t>
        </is>
      </c>
      <c r="H91" t="n">
        <v>-11</v>
      </c>
      <c r="I91" t="n">
        <v>89</v>
      </c>
      <c r="J91" t="n">
        <v>0</v>
      </c>
      <c r="K91" t="n">
        <v>-10</v>
      </c>
      <c r="N91" t="n">
        <v>100</v>
      </c>
    </row>
    <row r="92">
      <c r="C92" t="n">
        <v>-0.55</v>
      </c>
      <c r="E92">
        <f>E88+C92</f>
        <v/>
      </c>
    </row>
    <row r="93">
      <c r="A93" t="n">
        <v>21</v>
      </c>
      <c r="C93" s="1" t="n">
        <v>2029</v>
      </c>
      <c r="E93" s="1" t="n">
        <v>1971</v>
      </c>
      <c r="F93" t="inlineStr">
        <is>
          <t>S</t>
        </is>
      </c>
      <c r="H93" s="1" t="n">
        <v>1635</v>
      </c>
      <c r="I93" s="1" t="n">
        <v>6112</v>
      </c>
      <c r="J93" t="n">
        <v>-2</v>
      </c>
      <c r="L93" t="inlineStr">
        <is>
          <t>K2</t>
        </is>
      </c>
      <c r="N93" t="n">
        <v>4475</v>
      </c>
    </row>
    <row r="94">
      <c r="C94" s="1" t="n">
        <v>1239.5</v>
      </c>
      <c r="E94" s="1" t="n">
        <v>1200.8</v>
      </c>
      <c r="F94" t="inlineStr">
        <is>
          <t>T</t>
        </is>
      </c>
      <c r="H94" s="1" t="n">
        <v>1586</v>
      </c>
      <c r="I94" s="1" t="n">
        <v>6162</v>
      </c>
      <c r="J94" t="n">
        <v>-1</v>
      </c>
      <c r="L94" t="inlineStr">
        <is>
          <t>K1</t>
        </is>
      </c>
      <c r="N94" t="n">
        <v>4575</v>
      </c>
    </row>
    <row r="95">
      <c r="C95" t="n">
        <v>78.95</v>
      </c>
      <c r="E95" t="n">
        <v>77.02000000000001</v>
      </c>
      <c r="F95" t="inlineStr">
        <is>
          <t>S-T</t>
        </is>
      </c>
      <c r="H95" t="n">
        <v>49</v>
      </c>
      <c r="I95" t="n">
        <v>-50</v>
      </c>
      <c r="J95" t="n">
        <v>-1</v>
      </c>
      <c r="K95" t="n">
        <v>43</v>
      </c>
      <c r="N95" t="n">
        <v>100</v>
      </c>
    </row>
    <row r="96">
      <c r="C96" t="n">
        <v>1.93</v>
      </c>
      <c r="E96">
        <f>E92+C96</f>
        <v/>
      </c>
    </row>
    <row r="97">
      <c r="A97" t="n">
        <v>22</v>
      </c>
      <c r="C97" s="1" t="n">
        <v>1963</v>
      </c>
      <c r="E97" s="1" t="n">
        <v>1926</v>
      </c>
      <c r="F97" t="inlineStr">
        <is>
          <t>S</t>
        </is>
      </c>
      <c r="H97" s="1" t="n">
        <v>1578</v>
      </c>
      <c r="I97" s="1" t="n">
        <v>6153</v>
      </c>
      <c r="J97" t="n">
        <v>0</v>
      </c>
      <c r="L97" t="inlineStr">
        <is>
          <t>K1</t>
        </is>
      </c>
      <c r="N97" t="n">
        <v>4575</v>
      </c>
    </row>
    <row r="98">
      <c r="C98" s="1" t="n">
        <v>1193.3</v>
      </c>
      <c r="E98" s="1" t="n">
        <v>1134.3</v>
      </c>
      <c r="F98" t="inlineStr">
        <is>
          <t>T</t>
        </is>
      </c>
      <c r="H98" s="1" t="n">
        <v>1532</v>
      </c>
      <c r="I98" s="1" t="n">
        <v>6006</v>
      </c>
      <c r="J98" t="n">
        <v>1</v>
      </c>
      <c r="L98" t="inlineStr">
        <is>
          <t>K2</t>
        </is>
      </c>
      <c r="N98" t="n">
        <v>4475</v>
      </c>
    </row>
    <row r="99">
      <c r="C99" t="n">
        <v>76.97</v>
      </c>
      <c r="E99" t="n">
        <v>79.17</v>
      </c>
      <c r="F99" t="inlineStr">
        <is>
          <t>S-T</t>
        </is>
      </c>
      <c r="H99" t="n">
        <v>46</v>
      </c>
      <c r="I99" t="n">
        <v>147</v>
      </c>
      <c r="J99" t="n">
        <v>-1</v>
      </c>
      <c r="K99" t="n">
        <v>43</v>
      </c>
      <c r="N99" t="n">
        <v>100</v>
      </c>
    </row>
    <row r="100">
      <c r="C100" t="n">
        <v>-2.2</v>
      </c>
      <c r="E100">
        <f>E96+C100</f>
        <v/>
      </c>
    </row>
    <row r="101">
      <c r="A101" t="n">
        <v>23</v>
      </c>
      <c r="C101" s="1" t="n">
        <v>1945</v>
      </c>
      <c r="E101" s="1" t="n">
        <v>1962</v>
      </c>
      <c r="F101" t="inlineStr">
        <is>
          <t>S</t>
        </is>
      </c>
      <c r="H101" s="1" t="n">
        <v>1552</v>
      </c>
      <c r="I101" s="1" t="n">
        <v>6027</v>
      </c>
      <c r="J101" t="n">
        <v>0</v>
      </c>
      <c r="L101" t="inlineStr">
        <is>
          <t>K2</t>
        </is>
      </c>
      <c r="N101" t="n">
        <v>4475</v>
      </c>
    </row>
    <row r="102">
      <c r="C102" s="1" t="n">
        <v>1158</v>
      </c>
      <c r="E102" s="1" t="n">
        <v>1188.4</v>
      </c>
      <c r="F102" t="inlineStr">
        <is>
          <t>T</t>
        </is>
      </c>
      <c r="H102" s="1" t="n">
        <v>1577</v>
      </c>
      <c r="I102" s="1" t="n">
        <v>6152</v>
      </c>
      <c r="J102" t="n">
        <v>0</v>
      </c>
      <c r="L102" t="inlineStr">
        <is>
          <t>K1</t>
        </is>
      </c>
      <c r="N102" t="n">
        <v>4575</v>
      </c>
    </row>
    <row r="103">
      <c r="C103" t="n">
        <v>78.7</v>
      </c>
      <c r="E103" t="n">
        <v>77.35999999999999</v>
      </c>
      <c r="F103" t="inlineStr">
        <is>
          <t>S-T</t>
        </is>
      </c>
      <c r="H103" t="n">
        <v>-25</v>
      </c>
      <c r="I103" t="n">
        <v>-125</v>
      </c>
      <c r="J103" t="n">
        <v>0</v>
      </c>
      <c r="K103" t="n">
        <v>-24</v>
      </c>
      <c r="N103" t="n">
        <v>100</v>
      </c>
    </row>
    <row r="104">
      <c r="C104" t="n">
        <v>1.34</v>
      </c>
      <c r="E104">
        <f>E100+C104</f>
        <v/>
      </c>
    </row>
    <row r="105">
      <c r="A105" t="inlineStr">
        <is>
          <t>Tổng</t>
        </is>
      </c>
      <c r="C105">
        <f>SUM(C13,C17,C21,C25,C29,C33,C37,C41,C45,C49,C53,C57,C61,C65,C69,C73,C77,C81,C85,C89,C93,C97,C101)</f>
        <v/>
      </c>
      <c r="E105">
        <f>SUM(E13,E17,E21,E25,E29,E33,E37,E41,E45,E49,E53,E57,E61,E65,E69,E73,E77,E81,E85,E89,E93,E97,E101)</f>
        <v/>
      </c>
      <c r="F105" t="inlineStr">
        <is>
          <t>S</t>
        </is>
      </c>
      <c r="H105">
        <f>SUM(H13,H17,H21,H25,H29,H33,H37,H41,H45,H49,H53,H57,H61,H65,H69,H73,H77,H81,H85,H89,H93,H97,H101)</f>
        <v/>
      </c>
      <c r="I105">
        <f>SUM(I13,I17,I21,I25,I29,I33,I37,I41,I45,I49,I53,I57,I61,I65,I69,I73,I77,I81,I85,I89,I93,I97,I101)</f>
        <v/>
      </c>
    </row>
    <row r="106">
      <c r="C106">
        <f>SUM(C14,C18,C22,C26,C30,C34,C38,C42,C46,C50,C54,C58,C62,C66,C70,C74,C78,C82,C86,C90,C94,C98,C102)</f>
        <v/>
      </c>
      <c r="E106">
        <f>SUM(E14,E18,E22,E26,E30,E34,E38,E42,E46,E50,E54,E58,E62,E66,E70,E74,E78,E82,E86,E90,E94,E98,E102)</f>
        <v/>
      </c>
      <c r="F106" t="inlineStr">
        <is>
          <t>T</t>
        </is>
      </c>
      <c r="H106">
        <f>SUM(H14,H18,H22,H26,H30,H34,H38,H42,H46,H50,H54,H58,H62,H66,H70,H74,H78,H82,H86,H90,H94,H98,H102)</f>
        <v/>
      </c>
      <c r="I106">
        <f>SUM(I14,I18,I22,I26,I30,I34,I38,I42,I46,I50,I54,I58,I62,I66,I70,I74,I78,I82,I86,I90,I94,I98,I102)</f>
        <v/>
      </c>
    </row>
    <row r="107">
      <c r="C107" t="n">
        <v>1794.9</v>
      </c>
      <c r="E107" t="n">
        <v>1798.1</v>
      </c>
      <c r="F107" t="inlineStr">
        <is>
          <t>S-T</t>
        </is>
      </c>
      <c r="H107" t="n">
        <v>537</v>
      </c>
      <c r="I107" t="n">
        <v>638</v>
      </c>
      <c r="K107" t="n">
        <v>537</v>
      </c>
    </row>
    <row r="108">
      <c r="C108" t="n">
        <v>-3.199999999999818</v>
      </c>
      <c r="E108" t="n">
        <v>-3.199999999999818</v>
      </c>
    </row>
    <row r="110">
      <c r="C110">
        <f>SUM(C13,C17,C21,C25,C29,C33,C37,C41,C45,C49,C53,C57,C61,C65,C69,C73,C77,C81,C85,C89,C93,C97,C101)</f>
        <v/>
      </c>
      <c r="E110">
        <f>SUM(E13,E17,E21,E25,E29,E33,E37,E41,E45,E49,E53,E57,E61,E65,E69,E73,E77,E81,E85,E89,E93,E97,E101)</f>
        <v/>
      </c>
      <c r="H110">
        <f>SUM(H13,H17,H21,H25,H29,H33,H37,H41,H45,H49,H53,H57,H61,H65,H69,H73,H77,H81,H85,H89,H93,H97,H101)</f>
        <v/>
      </c>
      <c r="I110">
        <f>SUM(I13,I17,I21,I25,I29,I33,I37,I41,I45,I49,I53,I57,I61,I65,I69,I73,I77,I81,I85,I89,I93,I97,I101)</f>
        <v/>
      </c>
    </row>
    <row r="111">
      <c r="C111">
        <f>SUM(C14,C18,C22,C26,C30,C34,C38,C42,C46,C50,C54,C58,C62,C66,C70,C74,C78,C82,C86,C90,C94,C98,C102)</f>
        <v/>
      </c>
      <c r="E111">
        <f>SUM(E14,E18,E22,E26,E30,E34,E38,E42,E46,E50,E54,E58,E62,E66,E70,E74,E78,E82,E86,E90,E94,E98,E102)</f>
        <v/>
      </c>
      <c r="H111">
        <f>SUM(H14,H18,H22,H26,H30,H34,H38,H42,H46,H50,H54,H58,H62,H66,H70,H74,H78,H82,H86,H90,H94,H98,H102)</f>
        <v/>
      </c>
      <c r="I111">
        <f>SUM(I14,I18,I22,I26,I30,I34,I38,I42,I46,I50,I54,I58,I62,I66,I70,I74,I78,I82,I86,I90,I94,I98,I102)</f>
        <v/>
      </c>
    </row>
    <row r="112">
      <c r="B112" t="inlineStr">
        <is>
          <t>Lđo / 2 =</t>
        </is>
      </c>
      <c r="C112">
        <f>(C110-C111)/10</f>
        <v/>
      </c>
      <c r="E112">
        <f>(E110-E111)/10</f>
        <v/>
      </c>
      <c r="H112">
        <f>H110-H111</f>
        <v/>
      </c>
      <c r="I112">
        <f>I110-I111</f>
        <v/>
      </c>
      <c r="L112" t="inlineStr">
        <is>
          <t>±20 x sqrt(1.796)</t>
        </is>
      </c>
    </row>
    <row r="113">
      <c r="B113" t="inlineStr">
        <is>
          <t>± 0,5 x</t>
        </is>
      </c>
      <c r="C113">
        <f>C112-E112</f>
        <v/>
      </c>
      <c r="E113">
        <f>C113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2026-06-19T01:51:02Z</dcterms:created>
  <dcterms:modified xsi:type="dcterms:W3CDTF">2026-06-19T01:51:02Z</dcterms:modified>
</cp:coreProperties>
</file>