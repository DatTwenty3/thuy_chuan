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<sst xmlns="http://schemas.openxmlformats.org/spreadsheetml/2006/main" count="161" uniqueCount="49">
  <si>
    <t>SỔ ĐO THỦY CHUẨN HẠNG 4</t>
  </si>
  <si>
    <t>Đo từ:</t>
  </si>
  <si>
    <t>(tên mốc mua)</t>
  </si>
  <si>
    <t>Đến:</t>
  </si>
  <si>
    <t>(mốc GPSIV- gần nhất)</t>
  </si>
  <si>
    <t>Bắt đầu lúc:</t>
  </si>
  <si>
    <t/>
  </si>
  <si>
    <t>Ngày đo:</t>
  </si>
  <si>
    <t>(theo nhật ký)</t>
  </si>
  <si>
    <t>Kết thúc lúc:</t>
  </si>
  <si>
    <t>Người đo:</t>
  </si>
  <si>
    <t>Thời tiết:</t>
  </si>
  <si>
    <t>Người ghi:</t>
  </si>
  <si>
    <t>Người kiểm tra:</t>
  </si>
  <si>
    <t>Số</t>
  </si>
  <si>
    <t>Mia</t>
  </si>
  <si>
    <t>Chỉ trên</t>
  </si>
  <si>
    <t>Ký</t>
  </si>
  <si>
    <t>Số đọc trên mia</t>
  </si>
  <si>
    <t>K</t>
  </si>
  <si>
    <t>Chênh</t>
  </si>
  <si>
    <t>trạm</t>
  </si>
  <si>
    <t>sau</t>
  </si>
  <si>
    <t>Chỉ dưới</t>
  </si>
  <si>
    <t>trước</t>
  </si>
  <si>
    <t>hiệu</t>
  </si>
  <si>
    <t>Mặt</t>
  </si>
  <si>
    <t>+ đen</t>
  </si>
  <si>
    <t>cao</t>
  </si>
  <si>
    <t>Ghi</t>
  </si>
  <si>
    <t>đo</t>
  </si>
  <si>
    <t>K/C sau</t>
  </si>
  <si>
    <t>K/C trước</t>
  </si>
  <si>
    <t>mia</t>
  </si>
  <si>
    <t>đen</t>
  </si>
  <si>
    <t>đỏ</t>
  </si>
  <si>
    <t>- đỏ</t>
  </si>
  <si>
    <t>trung</t>
  </si>
  <si>
    <t>chú</t>
  </si>
  <si>
    <t>ΔS</t>
  </si>
  <si>
    <t>ΣΔS</t>
  </si>
  <si>
    <t>bình</t>
  </si>
  <si>
    <t>Hằng số mia K</t>
  </si>
  <si>
    <t>S</t>
  </si>
  <si>
    <t>K1</t>
  </si>
  <si>
    <t>T</t>
  </si>
  <si>
    <t>K2</t>
  </si>
  <si>
    <t>S-T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</si>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</sst>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FormatPr defaultRowHeight="15" outlineLevelRow="0" outlineLevelCol="0" x14ac:dyDescent="55"/>
  <cols>
    <col min="1" max="1" width="8" customWidth="1"/>
    <col min="3" max="3" width="12" customWidth="1"/>
    <col min="5" max="5" width="12" customWidth="1"/>
    <col min="8" max="9" width="10" customWidth="1"/>
    <col min="12" max="12" width="18" customWidth="1"/>
  </cols>
  <sheetData>
    <row r="1" spans="1:1" x14ac:dyDescent="0.25">
      <c r="A1" t="s">
        <v>0</v>
      </c>
    </row>
    <row r="3" spans="1:10" x14ac:dyDescent="0.25">
      <c r="A3" t="s">
        <v>1</v>
      </c>
      <c r="C3" t="s">
        <v>2</v>
      </c>
      <c r="H3" t="s">
        <v>3</v>
      </c>
      <c r="J3" t="s">
        <v>4</v>
      </c>
    </row>
    <row r="4" spans="1:10" x14ac:dyDescent="0.25">
      <c r="A4" t="s">
        <v>5</v>
      </c>
      <c r="C4" t="s">
        <v>6</v>
      </c>
      <c r="H4" t="s">
        <v>7</v>
      </c>
      <c r="J4" t="s">
        <v>8</v>
      </c>
    </row>
    <row r="5" spans="1:10" x14ac:dyDescent="0.25">
      <c r="A5" t="s">
        <v>9</v>
      </c>
      <c r="C5" t="s">
        <v>6</v>
      </c>
      <c r="H5" t="s">
        <v>10</v>
      </c>
      <c r="J5" t="s">
        <v>6</v>
      </c>
    </row>
    <row r="6" spans="1:10" x14ac:dyDescent="0.25">
      <c r="A6" t="s">
        <v>11</v>
      </c>
      <c r="C6" t="s">
        <v>6</v>
      </c>
      <c r="H6" t="s">
        <v>12</v>
      </c>
      <c r="J6" t="s">
        <v>6</v>
      </c>
    </row>
    <row r="7" spans="8:10" x14ac:dyDescent="0.25">
      <c r="H7" t="s">
        <v>13</v>
      </c>
      <c r="J7" t="s">
        <v>6</v>
      </c>
    </row>
    <row r="9" spans="1:11" x14ac:dyDescent="0.25">
      <c r="A9" t="s">
        <v>14</v>
      </c>
      <c r="B9" t="s">
        <v>15</v>
      </c>
      <c r="C9" t="s">
        <v>16</v>
      </c>
      <c r="D9" t="s">
        <v>15</v>
      </c>
      <c r="E9" t="s">
        <v>16</v>
      </c>
      <c r="F9" t="s">
        <v>17</v>
      </c>
      <c r="H9" t="s">
        <v>18</v>
      </c>
      <c r="J9" t="s">
        <v>19</v>
      </c>
      <c r="K9" t="s">
        <v>20</v>
      </c>
    </row>
    <row r="10" spans="1:12" x14ac:dyDescent="0.25">
      <c r="A10" t="s">
        <v>21</v>
      </c>
      <c r="B10" t="s">
        <v>22</v>
      </c>
      <c r="C10" t="s">
        <v>23</v>
      </c>
      <c r="D10" t="s">
        <v>24</v>
      </c>
      <c r="E10" t="s">
        <v>23</v>
      </c>
      <c r="F10" t="s">
        <v>25</v>
      </c>
      <c r="H10" t="s">
        <v>26</v>
      </c>
      <c r="I10" t="s">
        <v>26</v>
      </c>
      <c r="J10" t="s">
        <v>27</v>
      </c>
      <c r="K10" t="s">
        <v>28</v>
      </c>
      <c r="L10" t="s">
        <v>29</v>
      </c>
    </row>
    <row r="11" spans="1:12" x14ac:dyDescent="0.25">
      <c r="A11" t="s">
        <v>30</v>
      </c>
      <c r="B11" t="s">
        <v>31</v>
      </c>
      <c r="D11" t="s">
        <v>32</v>
      </c>
      <c r="F11" t="s">
        <v>33</v>
      </c>
      <c r="H11" t="s">
        <v>34</v>
      </c>
      <c r="I11" t="s">
        <v>35</v>
      </c>
      <c r="J11" t="s">
        <v>36</v>
      </c>
      <c r="K11" t="s">
        <v>37</v>
      </c>
      <c r="L11" t="s">
        <v>38</v>
      </c>
    </row>
    <row r="12" spans="2:14" x14ac:dyDescent="0.25">
      <c r="B12" t="s">
        <v>39</v>
      </c>
      <c r="D12" t="s">
        <v>40</v>
      </c>
      <c r="K12" t="s">
        <v>41</v>
      </c>
      <c r="N12" t="s">
        <v>42</v>
      </c>
    </row>
    <row r="13" spans="1:14" x14ac:dyDescent="0.25">
      <c r="A13">
        <v>1</v>
      </c>
      <c r="C13" s="1">
        <v>2426</v>
      </c>
      <c r="E13" s="1">
        <v>2430</v>
      </c>
      <c r="F13" t="s">
        <v>43</v>
      </c>
      <c r="H13" s="1">
        <v>2013</v>
      </c>
      <c r="I13" s="1">
        <v>6587</v>
      </c>
      <c r="J13">
        <v>1</v>
      </c>
      <c r="L13" t="s">
        <v>44</v>
      </c>
      <c r="N13">
        <v>4575</v>
      </c>
    </row>
    <row r="14" spans="3:14" x14ac:dyDescent="0.25">
      <c r="C14" s="1">
        <v>1601</v>
      </c>
      <c r="E14" s="1">
        <v>1615</v>
      </c>
      <c r="F14" t="s">
        <v>45</v>
      </c>
      <c r="H14" s="1">
        <v>2021</v>
      </c>
      <c r="I14" s="1">
        <v>6497</v>
      </c>
      <c r="J14">
        <v>-1</v>
      </c>
      <c r="L14" t="s">
        <v>46</v>
      </c>
      <c r="N14">
        <v>4475</v>
      </c>
    </row>
    <row r="15" spans="3:14" x14ac:dyDescent="0.25">
      <c r="C15">
        <v>82.5</v>
      </c>
      <c r="E15">
        <v>81.5</v>
      </c>
      <c r="F15" t="s">
        <v>47</v>
      </c>
      <c r="H15">
        <v>-8</v>
      </c>
      <c r="I15">
        <v>90</v>
      </c>
      <c r="J15">
        <v>2</v>
      </c>
      <c r="K15">
        <v>-10</v>
      </c>
      <c r="N15">
        <v>100</v>
      </c>
    </row>
    <row r="16" spans="3:5" x14ac:dyDescent="0.25">
      <c r="C16">
        <v>1</v>
      </c>
      <c r="E16">
        <v>1</v>
      </c>
    </row>
    <row r="17" spans="1:14" x14ac:dyDescent="0.25">
      <c r="A17">
        <v>2</v>
      </c>
      <c r="C17" s="1">
        <v>2468</v>
      </c>
      <c r="E17" s="1">
        <v>2481</v>
      </c>
      <c r="F17" t="s">
        <v>43</v>
      </c>
      <c r="H17" s="1">
        <v>2032</v>
      </c>
      <c r="I17" s="1">
        <v>6509</v>
      </c>
      <c r="J17">
        <v>-2</v>
      </c>
      <c r="L17" t="s">
        <v>46</v>
      </c>
      <c r="N17">
        <v>4575</v>
      </c>
    </row>
    <row r="18" spans="3:14" x14ac:dyDescent="0.25">
      <c r="C18" s="1">
        <v>1594</v>
      </c>
      <c r="E18" s="1">
        <v>1593</v>
      </c>
      <c r="F18" t="s">
        <v>45</v>
      </c>
      <c r="H18" s="1">
        <v>2038</v>
      </c>
      <c r="I18" s="1">
        <v>6613</v>
      </c>
      <c r="J18">
        <v>0</v>
      </c>
      <c r="L18" t="s">
        <v>44</v>
      </c>
      <c r="N18">
        <v>4475</v>
      </c>
    </row>
    <row r="19" spans="3:14" x14ac:dyDescent="0.25">
      <c r="C19">
        <v>87.4</v>
      </c>
      <c r="E19">
        <v>88.8</v>
      </c>
      <c r="F19" t="s">
        <v>47</v>
      </c>
      <c r="H19">
        <v>-6</v>
      </c>
      <c r="I19">
        <v>-104</v>
      </c>
      <c r="J19">
        <v>-2</v>
      </c>
      <c r="K19">
        <v>-4</v>
      </c>
      <c r="N19">
        <v>100</v>
      </c>
    </row>
    <row r="20" spans="3:5" x14ac:dyDescent="0.25">
      <c r="C20">
        <v>-1.4</v>
      </c>
      <c r="E20">
        <f>E16+C20</f>
      </c>
    </row>
    <row r="21" spans="1:14" x14ac:dyDescent="0.25">
      <c r="A21">
        <v>3</v>
      </c>
      <c r="C21" s="1">
        <v>2538</v>
      </c>
      <c r="E21" s="1">
        <v>2488</v>
      </c>
      <c r="F21" t="s">
        <v>43</v>
      </c>
      <c r="H21" s="1">
        <v>2111</v>
      </c>
      <c r="I21" s="1">
        <v>6686</v>
      </c>
      <c r="J21">
        <v>0</v>
      </c>
      <c r="L21" t="s">
        <v>44</v>
      </c>
      <c r="N21">
        <v>4575</v>
      </c>
    </row>
    <row r="22" spans="3:14" x14ac:dyDescent="0.25">
      <c r="C22" s="1">
        <v>1680</v>
      </c>
      <c r="E22" s="1">
        <v>1621</v>
      </c>
      <c r="F22" t="s">
        <v>45</v>
      </c>
      <c r="H22" s="1">
        <v>2056</v>
      </c>
      <c r="I22" s="1">
        <v>6533</v>
      </c>
      <c r="J22">
        <v>-2</v>
      </c>
      <c r="L22" t="s">
        <v>46</v>
      </c>
      <c r="N22">
        <v>4475</v>
      </c>
    </row>
    <row r="23" spans="3:14" x14ac:dyDescent="0.25">
      <c r="C23">
        <v>85.8</v>
      </c>
      <c r="E23">
        <v>86.7</v>
      </c>
      <c r="F23" t="s">
        <v>47</v>
      </c>
      <c r="H23">
        <v>55</v>
      </c>
      <c r="I23">
        <v>153</v>
      </c>
      <c r="J23">
        <v>2</v>
      </c>
      <c r="K23">
        <v>53</v>
      </c>
      <c r="N23">
        <v>100</v>
      </c>
    </row>
    <row r="24" spans="3:5" x14ac:dyDescent="0.25">
      <c r="C24">
        <v>-0.9</v>
      </c>
      <c r="E24">
        <f>E20+C24</f>
      </c>
    </row>
    <row r="25" spans="1:14" x14ac:dyDescent="0.25">
      <c r="A25">
        <v>4</v>
      </c>
      <c r="C25" s="1">
        <v>2601</v>
      </c>
      <c r="E25" s="1">
        <v>2496</v>
      </c>
      <c r="F25" t="s">
        <v>43</v>
      </c>
      <c r="H25" s="1">
        <v>2185</v>
      </c>
      <c r="I25" s="1">
        <v>6661</v>
      </c>
      <c r="J25">
        <v>-1</v>
      </c>
      <c r="L25" t="s">
        <v>46</v>
      </c>
      <c r="N25">
        <v>4575</v>
      </c>
    </row>
    <row r="26" spans="3:14" x14ac:dyDescent="0.25">
      <c r="C26" s="1">
        <v>1770</v>
      </c>
      <c r="E26" s="1">
        <v>1658</v>
      </c>
      <c r="F26" t="s">
        <v>45</v>
      </c>
      <c r="H26" s="1">
        <v>2075</v>
      </c>
      <c r="I26" s="1">
        <v>6649</v>
      </c>
      <c r="J26">
        <v>1</v>
      </c>
      <c r="L26" t="s">
        <v>44</v>
      </c>
      <c r="N26">
        <v>4475</v>
      </c>
    </row>
    <row r="27" spans="3:14" x14ac:dyDescent="0.25">
      <c r="C27">
        <v>83.1</v>
      </c>
      <c r="E27">
        <v>83.8</v>
      </c>
      <c r="F27" t="s">
        <v>47</v>
      </c>
      <c r="H27">
        <v>110</v>
      </c>
      <c r="I27">
        <v>12</v>
      </c>
      <c r="J27">
        <v>-2</v>
      </c>
      <c r="K27">
        <v>112</v>
      </c>
      <c r="N27">
        <v>100</v>
      </c>
    </row>
    <row r="28" spans="3:5" x14ac:dyDescent="0.25">
      <c r="C28">
        <v>-0.7</v>
      </c>
      <c r="E28">
        <f>E24+C28</f>
      </c>
    </row>
    <row r="29" spans="1:14" x14ac:dyDescent="0.25">
      <c r="A29">
        <v>5</v>
      </c>
      <c r="C29" s="1">
        <v>2497</v>
      </c>
      <c r="E29" s="1">
        <v>2515</v>
      </c>
      <c r="F29" t="s">
        <v>43</v>
      </c>
      <c r="H29" s="1">
        <v>2081</v>
      </c>
      <c r="I29" s="1">
        <v>6655</v>
      </c>
      <c r="J29">
        <v>1</v>
      </c>
      <c r="L29" t="s">
        <v>44</v>
      </c>
      <c r="N29">
        <v>4575</v>
      </c>
    </row>
    <row r="30" spans="3:14" x14ac:dyDescent="0.25">
      <c r="C30" s="1">
        <v>1662</v>
      </c>
      <c r="E30" s="1">
        <v>1658</v>
      </c>
      <c r="F30" t="s">
        <v>45</v>
      </c>
      <c r="H30" s="1">
        <v>2088</v>
      </c>
      <c r="I30" s="1">
        <v>6564</v>
      </c>
      <c r="J30">
        <v>-1</v>
      </c>
      <c r="L30" t="s">
        <v>46</v>
      </c>
      <c r="N30">
        <v>4475</v>
      </c>
    </row>
    <row r="31" spans="3:14" x14ac:dyDescent="0.25">
      <c r="C31">
        <v>83.5</v>
      </c>
      <c r="E31">
        <v>85.7</v>
      </c>
      <c r="F31" t="s">
        <v>47</v>
      </c>
      <c r="H31">
        <v>-7</v>
      </c>
      <c r="I31">
        <v>91</v>
      </c>
      <c r="J31">
        <v>2</v>
      </c>
      <c r="K31">
        <v>-9</v>
      </c>
      <c r="N31">
        <v>100</v>
      </c>
    </row>
    <row r="32" spans="3:5" x14ac:dyDescent="0.25">
      <c r="C32">
        <v>-2.2</v>
      </c>
      <c r="E32">
        <f>E28+C32</f>
      </c>
    </row>
    <row r="33" spans="1:14" x14ac:dyDescent="0.25">
      <c r="A33">
        <v>6</v>
      </c>
      <c r="C33" s="1">
        <v>2523</v>
      </c>
      <c r="E33" s="1">
        <v>2532</v>
      </c>
      <c r="F33" t="s">
        <v>43</v>
      </c>
      <c r="H33" s="1">
        <v>2096</v>
      </c>
      <c r="I33" s="1">
        <v>6573</v>
      </c>
      <c r="J33">
        <v>-2</v>
      </c>
      <c r="L33" t="s">
        <v>46</v>
      </c>
      <c r="N33">
        <v>4575</v>
      </c>
    </row>
    <row r="34" spans="3:14" x14ac:dyDescent="0.25">
      <c r="C34" s="1">
        <v>1670</v>
      </c>
      <c r="E34" s="1">
        <v>1676</v>
      </c>
      <c r="F34" t="s">
        <v>45</v>
      </c>
      <c r="H34" s="1">
        <v>2104</v>
      </c>
      <c r="I34" s="1">
        <v>6679</v>
      </c>
      <c r="J34">
        <v>0</v>
      </c>
      <c r="L34" t="s">
        <v>44</v>
      </c>
      <c r="N34">
        <v>4475</v>
      </c>
    </row>
    <row r="35" spans="3:14" x14ac:dyDescent="0.25">
      <c r="C35">
        <v>85.3</v>
      </c>
      <c r="E35">
        <v>85.6</v>
      </c>
      <c r="F35" t="s">
        <v>47</v>
      </c>
      <c r="H35">
        <v>-8</v>
      </c>
      <c r="I35">
        <v>-106</v>
      </c>
      <c r="J35">
        <v>-2</v>
      </c>
      <c r="K35">
        <v>-6</v>
      </c>
      <c r="N35">
        <v>100</v>
      </c>
    </row>
    <row r="36" spans="3:5" x14ac:dyDescent="0.25">
      <c r="C36">
        <v>-0.3</v>
      </c>
      <c r="E36">
        <f>E32+C36</f>
      </c>
    </row>
    <row r="37" spans="1:14" x14ac:dyDescent="0.25">
      <c r="A37">
        <v>7</v>
      </c>
      <c r="C37" s="1">
        <v>2545</v>
      </c>
      <c r="E37" s="1">
        <v>2556</v>
      </c>
      <c r="F37" t="s">
        <v>43</v>
      </c>
      <c r="H37" s="1">
        <v>2118</v>
      </c>
      <c r="I37" s="1">
        <v>6693</v>
      </c>
      <c r="J37">
        <v>0</v>
      </c>
      <c r="L37" t="s">
        <v>44</v>
      </c>
      <c r="N37">
        <v>4575</v>
      </c>
    </row>
    <row r="38" spans="3:14" x14ac:dyDescent="0.25">
      <c r="C38" s="1">
        <v>1691</v>
      </c>
      <c r="E38" s="1">
        <v>1699</v>
      </c>
      <c r="F38" t="s">
        <v>45</v>
      </c>
      <c r="H38" s="1">
        <v>2127</v>
      </c>
      <c r="I38" s="1">
        <v>6604</v>
      </c>
      <c r="J38">
        <v>-2</v>
      </c>
      <c r="L38" t="s">
        <v>46</v>
      </c>
      <c r="N38">
        <v>4475</v>
      </c>
    </row>
    <row r="39" spans="3:14" x14ac:dyDescent="0.25">
      <c r="C39">
        <v>85.4</v>
      </c>
      <c r="E39">
        <v>85.7</v>
      </c>
      <c r="F39" t="s">
        <v>47</v>
      </c>
      <c r="H39">
        <v>-9</v>
      </c>
      <c r="I39">
        <v>89</v>
      </c>
      <c r="J39">
        <v>2</v>
      </c>
      <c r="K39">
        <v>-11</v>
      </c>
      <c r="N39">
        <v>100</v>
      </c>
    </row>
    <row r="40" spans="3:5" x14ac:dyDescent="0.25">
      <c r="C40">
        <v>-0.3</v>
      </c>
      <c r="E40">
        <f>E36+C40</f>
      </c>
    </row>
    <row r="41" spans="1:14" x14ac:dyDescent="0.25">
      <c r="A41">
        <v>8</v>
      </c>
      <c r="C41" s="1">
        <v>2579</v>
      </c>
      <c r="E41" s="1">
        <v>2593</v>
      </c>
      <c r="F41" t="s">
        <v>43</v>
      </c>
      <c r="H41" s="1">
        <v>2143</v>
      </c>
      <c r="I41" s="1">
        <v>6620</v>
      </c>
      <c r="J41">
        <v>-2</v>
      </c>
      <c r="L41" t="s">
        <v>46</v>
      </c>
      <c r="N41">
        <v>4575</v>
      </c>
    </row>
    <row r="42" spans="3:14" x14ac:dyDescent="0.25">
      <c r="C42" s="1">
        <v>1702</v>
      </c>
      <c r="E42" s="1">
        <v>1700</v>
      </c>
      <c r="F42" t="s">
        <v>45</v>
      </c>
      <c r="H42" s="1">
        <v>2148</v>
      </c>
      <c r="I42" s="1">
        <v>6723</v>
      </c>
      <c r="J42">
        <v>0</v>
      </c>
      <c r="L42" t="s">
        <v>44</v>
      </c>
      <c r="N42">
        <v>4475</v>
      </c>
    </row>
    <row r="43" spans="3:14" x14ac:dyDescent="0.25">
      <c r="C43">
        <v>87.7</v>
      </c>
      <c r="E43">
        <v>89.3</v>
      </c>
      <c r="F43" t="s">
        <v>47</v>
      </c>
      <c r="H43">
        <v>-5</v>
      </c>
      <c r="I43">
        <v>-103</v>
      </c>
      <c r="J43">
        <v>-2</v>
      </c>
      <c r="K43">
        <v>-3</v>
      </c>
      <c r="N43">
        <v>100</v>
      </c>
    </row>
    <row r="44" spans="3:5" x14ac:dyDescent="0.25">
      <c r="C44">
        <v>-1.6</v>
      </c>
      <c r="E44">
        <f>E40+C44</f>
      </c>
    </row>
    <row r="45" spans="1:14" x14ac:dyDescent="0.25">
      <c r="A45">
        <v>9</v>
      </c>
      <c r="C45" s="1">
        <v>2755</v>
      </c>
      <c r="E45" s="1">
        <v>2581</v>
      </c>
      <c r="F45" t="s">
        <v>43</v>
      </c>
      <c r="H45" s="1">
        <v>2317</v>
      </c>
      <c r="I45" s="1">
        <v>6891</v>
      </c>
      <c r="J45">
        <v>1</v>
      </c>
      <c r="L45" t="s">
        <v>44</v>
      </c>
      <c r="N45">
        <v>4575</v>
      </c>
    </row>
    <row r="46" spans="3:14" x14ac:dyDescent="0.25">
      <c r="C46" s="1">
        <v>1883</v>
      </c>
      <c r="E46" s="1">
        <v>1732</v>
      </c>
      <c r="F46" t="s">
        <v>45</v>
      </c>
      <c r="H46" s="1">
        <v>2156</v>
      </c>
      <c r="I46" s="1">
        <v>6632</v>
      </c>
      <c r="J46">
        <v>-1</v>
      </c>
      <c r="L46" t="s">
        <v>46</v>
      </c>
      <c r="N46">
        <v>4475</v>
      </c>
    </row>
    <row r="47" spans="3:14" x14ac:dyDescent="0.25">
      <c r="C47">
        <v>87.2</v>
      </c>
      <c r="E47">
        <v>84.9</v>
      </c>
      <c r="F47" t="s">
        <v>47</v>
      </c>
      <c r="H47">
        <v>161</v>
      </c>
      <c r="I47">
        <v>259</v>
      </c>
      <c r="J47">
        <v>2</v>
      </c>
      <c r="K47">
        <v>159</v>
      </c>
      <c r="N47">
        <v>100</v>
      </c>
    </row>
    <row r="48" spans="3:5" x14ac:dyDescent="0.25">
      <c r="C48">
        <v>2.3</v>
      </c>
      <c r="E48">
        <f>E44+C48</f>
      </c>
    </row>
    <row r="49" spans="1:14" x14ac:dyDescent="0.25">
      <c r="A49">
        <v>10</v>
      </c>
      <c r="C49" s="1">
        <v>2594</v>
      </c>
      <c r="E49" s="1">
        <v>2590</v>
      </c>
      <c r="F49" t="s">
        <v>43</v>
      </c>
      <c r="H49" s="1">
        <v>2166</v>
      </c>
      <c r="I49" s="1">
        <v>6643</v>
      </c>
      <c r="J49">
        <v>-2</v>
      </c>
      <c r="L49" t="s">
        <v>46</v>
      </c>
      <c r="N49">
        <v>4575</v>
      </c>
    </row>
    <row r="50" spans="3:14" x14ac:dyDescent="0.25">
      <c r="C50" s="1">
        <v>1741</v>
      </c>
      <c r="E50" s="1">
        <v>1751</v>
      </c>
      <c r="F50" t="s">
        <v>45</v>
      </c>
      <c r="H50" s="1">
        <v>2169</v>
      </c>
      <c r="I50" s="1">
        <v>6744</v>
      </c>
      <c r="J50">
        <v>0</v>
      </c>
      <c r="L50" t="s">
        <v>44</v>
      </c>
      <c r="N50">
        <v>4475</v>
      </c>
    </row>
    <row r="51" spans="3:14" x14ac:dyDescent="0.25">
      <c r="C51">
        <v>85.3</v>
      </c>
      <c r="E51">
        <v>83.9</v>
      </c>
      <c r="F51" t="s">
        <v>47</v>
      </c>
      <c r="H51">
        <v>-3</v>
      </c>
      <c r="I51">
        <v>-101</v>
      </c>
      <c r="J51">
        <v>-2</v>
      </c>
      <c r="K51">
        <v>-1</v>
      </c>
      <c r="N51">
        <v>100</v>
      </c>
    </row>
    <row r="52" spans="3:5" x14ac:dyDescent="0.25">
      <c r="C52">
        <v>1.4</v>
      </c>
      <c r="E52">
        <f>E48+C52</f>
      </c>
    </row>
    <row r="53" spans="1:14" x14ac:dyDescent="0.25">
      <c r="A53">
        <v>11</v>
      </c>
      <c r="C53" s="1">
        <v>2712</v>
      </c>
      <c r="E53" s="1">
        <v>2608</v>
      </c>
      <c r="F53" t="s">
        <v>43</v>
      </c>
      <c r="H53" s="1">
        <v>2295</v>
      </c>
      <c r="I53" s="1">
        <v>6872</v>
      </c>
      <c r="J53">
        <v>-2</v>
      </c>
      <c r="L53" t="s">
        <v>44</v>
      </c>
      <c r="N53">
        <v>4575</v>
      </c>
    </row>
    <row r="54" spans="3:14" x14ac:dyDescent="0.25">
      <c r="C54" s="1">
        <v>1876</v>
      </c>
      <c r="E54" s="1">
        <v>1749</v>
      </c>
      <c r="F54" t="s">
        <v>45</v>
      </c>
      <c r="H54" s="1">
        <v>2180</v>
      </c>
      <c r="I54" s="1">
        <v>6656</v>
      </c>
      <c r="J54">
        <v>-1</v>
      </c>
      <c r="L54" t="s">
        <v>46</v>
      </c>
      <c r="N54">
        <v>4475</v>
      </c>
    </row>
    <row r="55" spans="3:14" x14ac:dyDescent="0.25">
      <c r="C55">
        <v>83.6</v>
      </c>
      <c r="E55">
        <v>85.9</v>
      </c>
      <c r="F55" t="s">
        <v>47</v>
      </c>
      <c r="H55">
        <v>115</v>
      </c>
      <c r="I55">
        <v>216</v>
      </c>
      <c r="J55">
        <v>-1</v>
      </c>
      <c r="K55">
        <v>116</v>
      </c>
      <c r="N55">
        <v>100</v>
      </c>
    </row>
    <row r="56" spans="3:5" x14ac:dyDescent="0.25">
      <c r="C56">
        <v>-2.3</v>
      </c>
      <c r="E56">
        <f>E52+C56</f>
      </c>
    </row>
    <row r="57" spans="1:14" x14ac:dyDescent="0.25">
      <c r="A57">
        <v>12</v>
      </c>
      <c r="C57" s="1">
        <v>2622</v>
      </c>
      <c r="E57" s="1">
        <v>2633</v>
      </c>
      <c r="F57" t="s">
        <v>43</v>
      </c>
      <c r="H57" s="1">
        <v>2197</v>
      </c>
      <c r="I57" s="1">
        <v>6673</v>
      </c>
      <c r="J57">
        <v>-1</v>
      </c>
      <c r="L57" t="s">
        <v>46</v>
      </c>
      <c r="N57">
        <v>4575</v>
      </c>
    </row>
    <row r="58" spans="3:14" x14ac:dyDescent="0.25">
      <c r="C58" s="1">
        <v>1774</v>
      </c>
      <c r="E58" s="1">
        <v>1770</v>
      </c>
      <c r="F58" t="s">
        <v>45</v>
      </c>
      <c r="H58" s="1">
        <v>2201</v>
      </c>
      <c r="I58" s="1">
        <v>6775</v>
      </c>
      <c r="J58">
        <v>1</v>
      </c>
      <c r="L58" t="s">
        <v>44</v>
      </c>
      <c r="N58">
        <v>4475</v>
      </c>
    </row>
    <row r="59" spans="3:14" x14ac:dyDescent="0.25">
      <c r="C59">
        <v>84.8</v>
      </c>
      <c r="E59">
        <v>86.3</v>
      </c>
      <c r="F59" t="s">
        <v>47</v>
      </c>
      <c r="H59">
        <v>-4</v>
      </c>
      <c r="I59">
        <v>-102</v>
      </c>
      <c r="J59">
        <v>-2</v>
      </c>
      <c r="K59">
        <v>-2</v>
      </c>
      <c r="N59">
        <v>100</v>
      </c>
    </row>
    <row r="60" spans="3:5" x14ac:dyDescent="0.25">
      <c r="C60">
        <v>-1.5</v>
      </c>
      <c r="E60">
        <f>E56+C60</f>
      </c>
    </row>
    <row r="61" spans="1:14" x14ac:dyDescent="0.25">
      <c r="A61">
        <v>13</v>
      </c>
      <c r="C61" s="1">
        <v>2848</v>
      </c>
      <c r="E61" s="1">
        <v>2656</v>
      </c>
      <c r="F61" t="s">
        <v>43</v>
      </c>
      <c r="H61" s="1">
        <v>2409</v>
      </c>
      <c r="I61" s="1">
        <v>6982</v>
      </c>
      <c r="J61">
        <v>2</v>
      </c>
      <c r="L61" t="s">
        <v>44</v>
      </c>
      <c r="N61">
        <v>4575</v>
      </c>
    </row>
    <row r="62" spans="3:14" x14ac:dyDescent="0.25">
      <c r="C62" s="1">
        <v>1972</v>
      </c>
      <c r="E62" s="1">
        <v>1785</v>
      </c>
      <c r="F62" t="s">
        <v>45</v>
      </c>
      <c r="H62" s="1">
        <v>2219</v>
      </c>
      <c r="I62" s="1">
        <v>6694</v>
      </c>
      <c r="J62">
        <v>0</v>
      </c>
      <c r="L62" t="s">
        <v>46</v>
      </c>
      <c r="N62">
        <v>4475</v>
      </c>
    </row>
    <row r="63" spans="3:14" x14ac:dyDescent="0.25">
      <c r="C63">
        <v>87.6</v>
      </c>
      <c r="E63">
        <v>87.1</v>
      </c>
      <c r="F63" t="s">
        <v>47</v>
      </c>
      <c r="H63">
        <v>190</v>
      </c>
      <c r="I63">
        <v>288</v>
      </c>
      <c r="J63">
        <v>2</v>
      </c>
      <c r="K63">
        <v>188</v>
      </c>
      <c r="N63">
        <v>100</v>
      </c>
    </row>
    <row r="64" spans="3:5" x14ac:dyDescent="0.25">
      <c r="C64">
        <v>0.5</v>
      </c>
      <c r="E64">
        <f>E60+C64</f>
      </c>
    </row>
    <row r="65" spans="1:14" x14ac:dyDescent="0.25">
      <c r="A65">
        <v>14</v>
      </c>
      <c r="C65" s="1">
        <v>2667</v>
      </c>
      <c r="E65" s="1">
        <v>2680</v>
      </c>
      <c r="F65" t="s">
        <v>43</v>
      </c>
      <c r="H65" s="1">
        <v>2230</v>
      </c>
      <c r="I65" s="1">
        <v>6707</v>
      </c>
      <c r="J65">
        <v>-2</v>
      </c>
      <c r="L65" t="s">
        <v>46</v>
      </c>
      <c r="N65">
        <v>4575</v>
      </c>
    </row>
    <row r="66" spans="3:14" x14ac:dyDescent="0.25">
      <c r="C66" s="1">
        <v>1796</v>
      </c>
      <c r="E66" s="1">
        <v>1798</v>
      </c>
      <c r="F66" t="s">
        <v>45</v>
      </c>
      <c r="H66" s="1">
        <v>2237</v>
      </c>
      <c r="I66" s="1">
        <v>6812</v>
      </c>
      <c r="J66">
        <v>0</v>
      </c>
      <c r="L66" t="s">
        <v>44</v>
      </c>
      <c r="N66">
        <v>4475</v>
      </c>
    </row>
    <row r="67" spans="3:14" x14ac:dyDescent="0.25">
      <c r="C67">
        <v>87.1</v>
      </c>
      <c r="E67">
        <v>88.2</v>
      </c>
      <c r="F67" t="s">
        <v>47</v>
      </c>
      <c r="H67">
        <v>-7</v>
      </c>
      <c r="I67">
        <v>-105</v>
      </c>
      <c r="J67">
        <v>-2</v>
      </c>
      <c r="K67">
        <v>-5</v>
      </c>
      <c r="N67">
        <v>100</v>
      </c>
    </row>
    <row r="68" spans="3:5" x14ac:dyDescent="0.25">
      <c r="C68">
        <v>-1.1</v>
      </c>
      <c r="E68">
        <f>E64+C68</f>
      </c>
    </row>
    <row r="69" spans="1:14" x14ac:dyDescent="0.25">
      <c r="A69">
        <v>15</v>
      </c>
      <c r="C69" s="1">
        <v>2664</v>
      </c>
      <c r="E69" s="1">
        <v>2655</v>
      </c>
      <c r="F69" t="s">
        <v>43</v>
      </c>
      <c r="H69" s="1">
        <v>2254</v>
      </c>
      <c r="I69" s="1">
        <v>6829</v>
      </c>
      <c r="J69">
        <v>0</v>
      </c>
      <c r="L69" t="s">
        <v>44</v>
      </c>
      <c r="N69">
        <v>4575</v>
      </c>
    </row>
    <row r="70" spans="3:14" x14ac:dyDescent="0.25">
      <c r="C70" s="1">
        <v>1839</v>
      </c>
      <c r="E70" s="1">
        <v>1854</v>
      </c>
      <c r="F70" t="s">
        <v>45</v>
      </c>
      <c r="H70" s="1">
        <v>2257</v>
      </c>
      <c r="I70" s="1">
        <v>6734</v>
      </c>
      <c r="J70">
        <v>-2</v>
      </c>
      <c r="L70" t="s">
        <v>46</v>
      </c>
      <c r="N70">
        <v>4475</v>
      </c>
    </row>
    <row r="71" spans="3:14" x14ac:dyDescent="0.25">
      <c r="C71">
        <v>82.5</v>
      </c>
      <c r="E71">
        <v>80.1</v>
      </c>
      <c r="F71" t="s">
        <v>47</v>
      </c>
      <c r="H71">
        <v>-3</v>
      </c>
      <c r="I71">
        <v>95</v>
      </c>
      <c r="J71">
        <v>2</v>
      </c>
      <c r="K71">
        <v>-5</v>
      </c>
      <c r="N71">
        <v>100</v>
      </c>
    </row>
    <row r="72" spans="3:5" x14ac:dyDescent="0.25">
      <c r="C72">
        <v>2.4</v>
      </c>
      <c r="E72">
        <f>E68+C72</f>
      </c>
    </row>
    <row r="73" spans="1:14" x14ac:dyDescent="0.25">
      <c r="A73">
        <v>16</v>
      </c>
      <c r="C73" s="1">
        <v>2700</v>
      </c>
      <c r="E73" s="1">
        <v>2705</v>
      </c>
      <c r="F73" t="s">
        <v>43</v>
      </c>
      <c r="H73" s="1">
        <v>2265</v>
      </c>
      <c r="I73" s="1">
        <v>6740</v>
      </c>
      <c r="J73">
        <v>0</v>
      </c>
      <c r="L73" t="s">
        <v>46</v>
      </c>
      <c r="N73">
        <v>4575</v>
      </c>
    </row>
    <row r="74" spans="3:14" x14ac:dyDescent="0.25">
      <c r="C74" s="1">
        <v>1828</v>
      </c>
      <c r="E74" s="1">
        <v>1840</v>
      </c>
      <c r="F74" t="s">
        <v>45</v>
      </c>
      <c r="H74" s="1">
        <v>2273</v>
      </c>
      <c r="I74" s="1">
        <v>6846</v>
      </c>
      <c r="J74">
        <v>2</v>
      </c>
      <c r="L74" t="s">
        <v>44</v>
      </c>
      <c r="N74">
        <v>4475</v>
      </c>
    </row>
    <row r="75" spans="3:14" x14ac:dyDescent="0.25">
      <c r="C75">
        <v>87.2</v>
      </c>
      <c r="E75">
        <v>86.5</v>
      </c>
      <c r="F75" t="s">
        <v>47</v>
      </c>
      <c r="H75">
        <v>-8</v>
      </c>
      <c r="I75">
        <v>-106</v>
      </c>
      <c r="J75">
        <v>-2</v>
      </c>
      <c r="K75">
        <v>-6</v>
      </c>
      <c r="N75">
        <v>100</v>
      </c>
    </row>
    <row r="76" spans="3:5" x14ac:dyDescent="0.25">
      <c r="C76">
        <v>0.7</v>
      </c>
      <c r="E76">
        <f>E72+C76</f>
      </c>
    </row>
    <row r="77" spans="1:14" x14ac:dyDescent="0.25">
      <c r="A77">
        <v>17</v>
      </c>
      <c r="C77" s="1">
        <v>2719</v>
      </c>
      <c r="E77" s="1">
        <v>2726</v>
      </c>
      <c r="F77" t="s">
        <v>43</v>
      </c>
      <c r="H77" s="1">
        <v>2288</v>
      </c>
      <c r="I77" s="1">
        <v>6861</v>
      </c>
      <c r="J77">
        <v>2</v>
      </c>
      <c r="L77" t="s">
        <v>44</v>
      </c>
      <c r="N77">
        <v>4575</v>
      </c>
    </row>
    <row r="78" spans="3:14" x14ac:dyDescent="0.25">
      <c r="C78" s="1">
        <v>1856</v>
      </c>
      <c r="E78" s="1">
        <v>1862</v>
      </c>
      <c r="F78" t="s">
        <v>45</v>
      </c>
      <c r="H78" s="1">
        <v>2294</v>
      </c>
      <c r="I78" s="1">
        <v>6769</v>
      </c>
      <c r="J78">
        <v>0</v>
      </c>
      <c r="L78" t="s">
        <v>46</v>
      </c>
      <c r="N78">
        <v>4475</v>
      </c>
    </row>
    <row r="79" spans="3:14" x14ac:dyDescent="0.25">
      <c r="C79">
        <v>86.3</v>
      </c>
      <c r="E79">
        <v>86.4</v>
      </c>
      <c r="F79" t="s">
        <v>47</v>
      </c>
      <c r="H79">
        <v>-6</v>
      </c>
      <c r="I79">
        <v>92</v>
      </c>
      <c r="J79">
        <v>2</v>
      </c>
      <c r="K79">
        <v>-8</v>
      </c>
      <c r="N79">
        <v>100</v>
      </c>
    </row>
    <row r="80" spans="3:5" x14ac:dyDescent="0.25">
      <c r="C80">
        <v>-0.1</v>
      </c>
      <c r="E80">
        <f>E76+C80</f>
      </c>
    </row>
    <row r="81" spans="1:14" x14ac:dyDescent="0.25">
      <c r="A81">
        <v>18</v>
      </c>
      <c r="C81" s="1">
        <v>2741</v>
      </c>
      <c r="E81" s="1">
        <v>2750</v>
      </c>
      <c r="F81" t="s">
        <v>43</v>
      </c>
      <c r="H81" s="1">
        <v>2305</v>
      </c>
      <c r="I81" s="1">
        <v>6782</v>
      </c>
      <c r="J81">
        <v>-2</v>
      </c>
      <c r="L81" t="s">
        <v>46</v>
      </c>
      <c r="N81">
        <v>4575</v>
      </c>
    </row>
    <row r="82" spans="3:14" x14ac:dyDescent="0.25">
      <c r="C82" s="1">
        <v>1865</v>
      </c>
      <c r="E82" s="1">
        <v>1864</v>
      </c>
      <c r="F82" t="s">
        <v>45</v>
      </c>
      <c r="H82" s="1">
        <v>2309</v>
      </c>
      <c r="I82" s="1">
        <v>6884</v>
      </c>
      <c r="J82">
        <v>0</v>
      </c>
      <c r="L82" t="s">
        <v>44</v>
      </c>
      <c r="N82">
        <v>4475</v>
      </c>
    </row>
    <row r="83" spans="3:14" x14ac:dyDescent="0.25">
      <c r="C83">
        <v>87.6</v>
      </c>
      <c r="E83">
        <v>88.6</v>
      </c>
      <c r="F83" t="s">
        <v>47</v>
      </c>
      <c r="H83">
        <v>-4</v>
      </c>
      <c r="I83">
        <v>-102</v>
      </c>
      <c r="J83">
        <v>-2</v>
      </c>
      <c r="K83">
        <v>-2</v>
      </c>
      <c r="N83">
        <v>100</v>
      </c>
    </row>
    <row r="84" spans="3:5" x14ac:dyDescent="0.25">
      <c r="C84">
        <v>-1</v>
      </c>
      <c r="E84">
        <f>E80+C84</f>
      </c>
    </row>
    <row r="85" spans="1:14" x14ac:dyDescent="0.25">
      <c r="A85">
        <v>19</v>
      </c>
      <c r="C85" s="1">
        <v>2740</v>
      </c>
      <c r="E85" s="1">
        <v>2734</v>
      </c>
      <c r="F85" t="s">
        <v>43</v>
      </c>
      <c r="H85" s="1">
        <v>2316</v>
      </c>
      <c r="I85" s="1">
        <v>6890</v>
      </c>
      <c r="J85">
        <v>1</v>
      </c>
      <c r="L85" t="s">
        <v>44</v>
      </c>
      <c r="N85">
        <v>4575</v>
      </c>
    </row>
    <row r="86" spans="3:14" x14ac:dyDescent="0.25">
      <c r="C86" s="1">
        <v>1896</v>
      </c>
      <c r="E86" s="1">
        <v>1908</v>
      </c>
      <c r="F86" t="s">
        <v>45</v>
      </c>
      <c r="H86" s="1">
        <v>2320</v>
      </c>
      <c r="I86" s="1">
        <v>6796</v>
      </c>
      <c r="J86">
        <v>-1</v>
      </c>
      <c r="L86" t="s">
        <v>46</v>
      </c>
      <c r="N86">
        <v>4475</v>
      </c>
    </row>
    <row r="87" spans="3:14" x14ac:dyDescent="0.25">
      <c r="C87">
        <v>84.4</v>
      </c>
      <c r="E87">
        <v>82.6</v>
      </c>
      <c r="F87" t="s">
        <v>47</v>
      </c>
      <c r="H87">
        <v>-4</v>
      </c>
      <c r="I87">
        <v>94</v>
      </c>
      <c r="J87">
        <v>2</v>
      </c>
      <c r="K87">
        <v>-6</v>
      </c>
      <c r="N87">
        <v>100</v>
      </c>
    </row>
    <row r="88" spans="3:5" x14ac:dyDescent="0.25">
      <c r="C88">
        <v>1.8</v>
      </c>
      <c r="E88">
        <f>E84+C88</f>
      </c>
    </row>
    <row r="89" spans="1:14" x14ac:dyDescent="0.25">
      <c r="A89">
        <v>20</v>
      </c>
      <c r="C89" s="1">
        <v>2751</v>
      </c>
      <c r="E89" s="1">
        <v>2762</v>
      </c>
      <c r="F89" t="s">
        <v>43</v>
      </c>
      <c r="H89" s="1">
        <v>2329</v>
      </c>
      <c r="I89" s="1">
        <v>6805</v>
      </c>
      <c r="J89">
        <v>-1</v>
      </c>
      <c r="L89" t="s">
        <v>46</v>
      </c>
      <c r="N89">
        <v>4575</v>
      </c>
    </row>
    <row r="90" spans="3:14" x14ac:dyDescent="0.25">
      <c r="C90" s="1">
        <v>1904</v>
      </c>
      <c r="E90" s="1">
        <v>1908</v>
      </c>
      <c r="F90" t="s">
        <v>45</v>
      </c>
      <c r="H90" s="1">
        <v>2335</v>
      </c>
      <c r="I90" s="1">
        <v>6909</v>
      </c>
      <c r="J90">
        <v>1</v>
      </c>
      <c r="L90" t="s">
        <v>44</v>
      </c>
      <c r="N90">
        <v>4475</v>
      </c>
    </row>
    <row r="91" spans="3:14" x14ac:dyDescent="0.25">
      <c r="C91">
        <v>84.7</v>
      </c>
      <c r="E91">
        <v>85.4</v>
      </c>
      <c r="F91" t="s">
        <v>47</v>
      </c>
      <c r="H91">
        <v>-6</v>
      </c>
      <c r="I91">
        <v>-104</v>
      </c>
      <c r="J91">
        <v>-2</v>
      </c>
      <c r="K91">
        <v>-4</v>
      </c>
      <c r="N91">
        <v>100</v>
      </c>
    </row>
    <row r="92" spans="3:5" x14ac:dyDescent="0.25">
      <c r="C92">
        <v>-0.7</v>
      </c>
      <c r="E92">
        <f>E88+C92</f>
      </c>
    </row>
    <row r="93" spans="1:14" x14ac:dyDescent="0.25">
      <c r="A93">
        <v>21</v>
      </c>
      <c r="C93" s="1">
        <v>2779</v>
      </c>
      <c r="E93" s="1">
        <v>2778</v>
      </c>
      <c r="F93" t="s">
        <v>43</v>
      </c>
      <c r="H93" s="1">
        <v>2351</v>
      </c>
      <c r="I93" s="1">
        <v>6925</v>
      </c>
      <c r="J93">
        <v>1</v>
      </c>
      <c r="L93" t="s">
        <v>44</v>
      </c>
      <c r="N93">
        <v>4575</v>
      </c>
    </row>
    <row r="94" spans="3:14" x14ac:dyDescent="0.25">
      <c r="C94" s="1">
        <v>1920</v>
      </c>
      <c r="E94" s="1">
        <v>1927</v>
      </c>
      <c r="F94" t="s">
        <v>45</v>
      </c>
      <c r="H94" s="1">
        <v>2357</v>
      </c>
      <c r="I94" s="1">
        <v>6833</v>
      </c>
      <c r="J94">
        <v>-1</v>
      </c>
      <c r="L94" t="s">
        <v>46</v>
      </c>
      <c r="N94">
        <v>4475</v>
      </c>
    </row>
    <row r="95" spans="3:14" x14ac:dyDescent="0.25">
      <c r="C95">
        <v>85.9</v>
      </c>
      <c r="E95">
        <v>85.1</v>
      </c>
      <c r="F95" t="s">
        <v>47</v>
      </c>
      <c r="H95">
        <v>-6</v>
      </c>
      <c r="I95">
        <v>92</v>
      </c>
      <c r="J95">
        <v>2</v>
      </c>
      <c r="K95">
        <v>-8</v>
      </c>
      <c r="N95">
        <v>100</v>
      </c>
    </row>
    <row r="96" spans="3:5" x14ac:dyDescent="0.25">
      <c r="C96">
        <v>0.8</v>
      </c>
      <c r="E96">
        <f>E92+C96</f>
      </c>
    </row>
    <row r="97" spans="1:10" x14ac:dyDescent="0.25">
      <c r="A97" t="s">
        <v>48</v>
      </c>
      <c r="C97">
        <v>55469</v>
      </c>
      <c r="E97">
        <v>54949</v>
      </c>
      <c r="F97" t="s">
        <v>43</v>
      </c>
      <c r="H97">
        <v>46501</v>
      </c>
      <c r="I97">
        <v>141584</v>
      </c>
      <c r="J97">
        <v>-8</v>
      </c>
    </row>
    <row r="98" spans="3:10" x14ac:dyDescent="0.25">
      <c r="C98">
        <v>37520</v>
      </c>
      <c r="E98">
        <v>36968</v>
      </c>
      <c r="F98" t="s">
        <v>45</v>
      </c>
      <c r="H98">
        <v>45964</v>
      </c>
      <c r="I98">
        <v>140946</v>
      </c>
      <c r="J98">
        <v>-7</v>
      </c>
    </row>
    <row r="99" spans="3:11" x14ac:dyDescent="0.25">
      <c r="C99">
        <v>1794.9</v>
      </c>
      <c r="E99">
        <v>1798.1</v>
      </c>
      <c r="F99" t="s">
        <v>47</v>
      </c>
      <c r="H99">
        <v>537</v>
      </c>
      <c r="I99">
        <v>638</v>
      </c>
      <c r="J99">
        <v>-1</v>
      </c>
      <c r="K99">
        <v>537</v>
      </c>
    </row>
    <row r="100" spans="3:5" x14ac:dyDescent="0.25">
      <c r="C100">
        <v>-3.199999999999818</v>
      </c>
      <c r="E100">
        <v>-3.199999999999818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2026-06-19T08:43:13Z</dcterms:created>
  <dcterms:modified xsi:type="dcterms:W3CDTF">2026-06-19T08:43:13Z</dcterms:modified>
</cp:coreProperties>
</file>